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othma\FlexLoadCalculator\"/>
    </mc:Choice>
  </mc:AlternateContent>
  <xr:revisionPtr revIDLastSave="0" documentId="13_ncr:1_{C240AB2F-2E4D-4129-B541-0F977404CBB7}" xr6:coauthVersionLast="47" xr6:coauthVersionMax="47" xr10:uidLastSave="{00000000-0000-0000-0000-000000000000}"/>
  <bookViews>
    <workbookView xWindow="-28740" yWindow="390" windowWidth="28170" windowHeight="15105" firstSheet="2" activeTab="2" xr2:uid="{12004F3A-E8F9-43DF-824D-D62BD91335EA}"/>
  </bookViews>
  <sheets>
    <sheet name="December" sheetId="5" state="hidden" r:id="rId1"/>
    <sheet name="July" sheetId="4" state="hidden" r:id="rId2"/>
    <sheet name="Calculator" sheetId="1" r:id="rId3"/>
    <sheet name="xlwings.conf" sheetId="16" r:id="rId4"/>
    <sheet name="Lookup" sheetId="12" r:id="rId5"/>
    <sheet name="Metric Coefficients" sheetId="14" r:id="rId6"/>
    <sheet name="(Non)Ideal Flex Load" sheetId="15" r:id="rId7"/>
    <sheet name="LME Demand" sheetId="11" r:id="rId8"/>
    <sheet name="Input Calculations" sheetId="8" r:id="rId9"/>
    <sheet name="Sample Load Data" sheetId="10" r:id="rId10"/>
    <sheet name="CF Data" sheetId="9" r:id="rId11"/>
  </sheets>
  <externalReferences>
    <externalReference r:id="rId12"/>
  </externalReferences>
  <definedNames>
    <definedName name="_xleta.LOOKUP" hidden="1" xlm="1">#NAME?</definedName>
    <definedName name="_xleta.MAX" hidden="1" xlm="1">#NAME?</definedName>
    <definedName name="_xleta.N" hidden="1" xlm="1">#NAME?</definedName>
    <definedName name="_xleta.VALUE" hidden="1" xlm="1">#NAME?</definedName>
    <definedName name="ExternalData_1" localSheetId="1" hidden="1">July!$A$1:$B$5</definedName>
    <definedName name="ExternalData_1" localSheetId="4" hidden="1">Lookup!$C$3:$G$149</definedName>
    <definedName name="ExternalData_2" localSheetId="0" hidden="1">December!$A$1:$B$5</definedName>
    <definedName name="FLType">Calculator!$M$6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N39" i="1" l="1"/>
  <c r="K39" i="1"/>
  <c r="K37" i="1"/>
  <c r="K38" i="1" s="1"/>
  <c r="E8" i="8"/>
  <c r="O10" i="1" s="1"/>
  <c r="J9" i="14" s="1"/>
  <c r="E7" i="8"/>
  <c r="E31" i="8" l="1"/>
  <c r="Q41" i="8"/>
  <c r="Q40" i="8"/>
  <c r="Q39" i="8"/>
  <c r="Q38" i="8"/>
  <c r="Q37" i="8"/>
  <c r="Q36" i="8"/>
  <c r="Q35" i="8"/>
  <c r="Q34" i="8"/>
  <c r="Q33" i="8"/>
  <c r="K41" i="8"/>
  <c r="K40" i="8"/>
  <c r="K39" i="8"/>
  <c r="K38" i="8"/>
  <c r="K37" i="8"/>
  <c r="K36" i="8"/>
  <c r="K35" i="8"/>
  <c r="K34" i="8"/>
  <c r="K33" i="8"/>
  <c r="E41" i="8"/>
  <c r="E40" i="8"/>
  <c r="E39" i="8"/>
  <c r="E38" i="8"/>
  <c r="E37" i="8"/>
  <c r="E36" i="8"/>
  <c r="E35" i="8"/>
  <c r="E34" i="8"/>
  <c r="E33" i="8"/>
  <c r="E62" i="8"/>
  <c r="E61" i="8"/>
  <c r="E60" i="8"/>
  <c r="E59" i="8"/>
  <c r="E58" i="8"/>
  <c r="E57" i="8"/>
  <c r="E56" i="8"/>
  <c r="E55" i="8"/>
  <c r="E54" i="8"/>
  <c r="K9" i="1" a="1"/>
  <c r="K9" i="1" s="1"/>
  <c r="J9" i="1" a="1"/>
  <c r="J9" i="1" s="1"/>
  <c r="I9" i="1" a="1"/>
  <c r="I9" i="1" s="1"/>
  <c r="Q20" i="8"/>
  <c r="Q19" i="8"/>
  <c r="Q18" i="8"/>
  <c r="Q17" i="8"/>
  <c r="Q16" i="8"/>
  <c r="Q15" i="8"/>
  <c r="Q14" i="8"/>
  <c r="Q13" i="8"/>
  <c r="Q12" i="8"/>
  <c r="K20" i="8"/>
  <c r="K19" i="8"/>
  <c r="K18" i="8"/>
  <c r="K17" i="8"/>
  <c r="K16" i="8"/>
  <c r="K15" i="8"/>
  <c r="K14" i="8"/>
  <c r="K13" i="8"/>
  <c r="K12" i="8"/>
  <c r="E20" i="8"/>
  <c r="E19" i="8"/>
  <c r="E18" i="8"/>
  <c r="E17" i="8"/>
  <c r="E16" i="8"/>
  <c r="E15" i="8"/>
  <c r="E14" i="8"/>
  <c r="E13" i="8"/>
  <c r="E12" i="8"/>
  <c r="K48" i="1" l="1"/>
  <c r="E6" i="8"/>
  <c r="K10" i="8"/>
  <c r="E52" i="8"/>
  <c r="Q31" i="8"/>
  <c r="K31" i="8"/>
  <c r="Q10" i="8"/>
  <c r="E11" i="8"/>
  <c r="E51" i="8"/>
  <c r="Q30" i="8"/>
  <c r="K30" i="8"/>
  <c r="E30" i="8"/>
  <c r="Q9" i="8"/>
  <c r="K9" i="8"/>
  <c r="E9" i="8"/>
  <c r="E48" i="8"/>
  <c r="Q27" i="8"/>
  <c r="K27" i="8"/>
  <c r="E27" i="8"/>
  <c r="Q6" i="8"/>
  <c r="K6" i="8"/>
  <c r="F7" i="11" a="1"/>
  <c r="F7" i="11" s="1"/>
  <c r="I4" i="11"/>
  <c r="C4" i="11"/>
  <c r="I3" i="11"/>
  <c r="I7" i="11" s="1" a="1"/>
  <c r="I7" i="11" s="1"/>
  <c r="C3" i="11"/>
  <c r="D7" i="11" s="1" a="1"/>
  <c r="D7" i="11" s="1"/>
  <c r="E21" i="10"/>
  <c r="E20" i="10"/>
  <c r="E19" i="10"/>
  <c r="E18" i="10"/>
  <c r="E17" i="10"/>
  <c r="F11" i="10"/>
  <c r="B11" i="10"/>
  <c r="D11" i="10" s="1"/>
  <c r="F10" i="10"/>
  <c r="B10" i="10"/>
  <c r="D10" i="10" s="1"/>
  <c r="F9" i="10"/>
  <c r="B9" i="10"/>
  <c r="D9" i="10" s="1"/>
  <c r="F8" i="10"/>
  <c r="B8" i="10"/>
  <c r="D8" i="10" s="1"/>
  <c r="F6" i="10"/>
  <c r="B6" i="10"/>
  <c r="D6" i="10" s="1"/>
  <c r="F5" i="10"/>
  <c r="B5" i="10"/>
  <c r="D5" i="10" s="1"/>
  <c r="BC9" i="9"/>
  <c r="AY9" i="9"/>
  <c r="AU9" i="9"/>
  <c r="AQ9" i="9"/>
  <c r="AM9" i="9"/>
  <c r="AI9" i="9"/>
  <c r="AE9" i="9"/>
  <c r="AA9" i="9"/>
  <c r="W9" i="9"/>
  <c r="S9" i="9"/>
  <c r="O9" i="9"/>
  <c r="K9" i="9"/>
  <c r="G9" i="9"/>
  <c r="C9" i="9"/>
  <c r="BC8" i="9"/>
  <c r="AY8" i="9"/>
  <c r="AU8" i="9"/>
  <c r="AQ8" i="9"/>
  <c r="AM8" i="9"/>
  <c r="AI8" i="9"/>
  <c r="AE8" i="9"/>
  <c r="AA8" i="9"/>
  <c r="W8" i="9"/>
  <c r="S8" i="9"/>
  <c r="O8" i="9"/>
  <c r="K8" i="9"/>
  <c r="G8" i="9"/>
  <c r="C8" i="9"/>
  <c r="BC5" i="9"/>
  <c r="AY5" i="9"/>
  <c r="AU5" i="9"/>
  <c r="AQ5" i="9"/>
  <c r="AM5" i="9"/>
  <c r="AI5" i="9"/>
  <c r="AE5" i="9"/>
  <c r="AA5" i="9"/>
  <c r="W5" i="9"/>
  <c r="S5" i="9"/>
  <c r="O5" i="9"/>
  <c r="K5" i="9"/>
  <c r="G5" i="9"/>
  <c r="C5" i="9"/>
  <c r="BC4" i="9"/>
  <c r="BC6" i="9" s="1" a="1"/>
  <c r="BC6" i="9" s="1"/>
  <c r="AY4" i="9"/>
  <c r="AU4" i="9"/>
  <c r="AU6" i="9" s="1" a="1"/>
  <c r="AU6" i="9" s="1"/>
  <c r="AQ4" i="9"/>
  <c r="AQ6" i="9" s="1" a="1"/>
  <c r="AQ6" i="9" s="1"/>
  <c r="AM4" i="9"/>
  <c r="AI4" i="9"/>
  <c r="AI6" i="9" s="1" a="1"/>
  <c r="AI6" i="9" s="1"/>
  <c r="AE4" i="9"/>
  <c r="AE6" i="9" s="1" a="1"/>
  <c r="AE6" i="9" s="1"/>
  <c r="AA4" i="9"/>
  <c r="AA6" i="9" s="1" a="1"/>
  <c r="AA6" i="9" s="1"/>
  <c r="W4" i="9"/>
  <c r="W6" i="9" s="1" a="1"/>
  <c r="W6" i="9" s="1"/>
  <c r="S4" i="9"/>
  <c r="O4" i="9"/>
  <c r="K4" i="9"/>
  <c r="G4" i="9"/>
  <c r="G6" i="9" s="1" a="1"/>
  <c r="G6" i="9" s="1"/>
  <c r="C4" i="9"/>
  <c r="C6" i="9" s="1" a="1"/>
  <c r="C6" i="9" s="1"/>
  <c r="M7" i="1"/>
  <c r="AU7" i="9" l="1"/>
  <c r="AM6" i="9" a="1"/>
  <c r="AM6" i="9" s="1"/>
  <c r="O7" i="9"/>
  <c r="E7" i="11" a="1"/>
  <c r="E7" i="11" s="1"/>
  <c r="AA7" i="9"/>
  <c r="AI7" i="9"/>
  <c r="AQ7" i="9"/>
  <c r="S6" i="9" a="1"/>
  <c r="S6" i="9" s="1"/>
  <c r="K7" i="9"/>
  <c r="AE7" i="9"/>
  <c r="S7" i="9"/>
  <c r="W7" i="9"/>
  <c r="AM7" i="9"/>
  <c r="K6" i="9" a="1"/>
  <c r="K6" i="9" s="1"/>
  <c r="C7" i="9"/>
  <c r="AY7" i="9"/>
  <c r="O6" i="9" a="1"/>
  <c r="O6" i="9" s="1"/>
  <c r="G7" i="9"/>
  <c r="BC7" i="9"/>
  <c r="O8" i="1"/>
  <c r="O13" i="1"/>
  <c r="O12" i="1"/>
  <c r="O11" i="1"/>
  <c r="O9" i="1"/>
  <c r="K47" i="1" s="1"/>
  <c r="O22" i="1"/>
  <c r="O21" i="1"/>
  <c r="O20" i="1"/>
  <c r="O19" i="1"/>
  <c r="O18" i="1"/>
  <c r="O17" i="1"/>
  <c r="O16" i="1"/>
  <c r="O15" i="1"/>
  <c r="O14" i="1"/>
  <c r="J7" i="11" a="1"/>
  <c r="J7" i="11" s="1"/>
  <c r="K7" i="11" a="1"/>
  <c r="K7" i="11" s="1"/>
  <c r="C7" i="11" a="1"/>
  <c r="C7" i="11" s="1"/>
  <c r="N36" i="1" s="1"/>
  <c r="O48" i="1" s="1"/>
  <c r="L7" i="11" a="1"/>
  <c r="L7" i="11" s="1"/>
  <c r="AY6" i="9" a="1"/>
  <c r="AY6" i="9" s="1"/>
  <c r="E8" i="14" l="1"/>
  <c r="O47" i="1"/>
  <c r="E10" i="14"/>
  <c r="J10" i="14"/>
  <c r="E11" i="14"/>
  <c r="J11" i="14"/>
  <c r="E12" i="14"/>
  <c r="J12" i="14"/>
  <c r="E7" i="14"/>
  <c r="J7" i="14"/>
  <c r="G36" i="1" s="1"/>
  <c r="E21" i="14"/>
  <c r="J21" i="14"/>
  <c r="E17" i="14"/>
  <c r="J17" i="14"/>
  <c r="E18" i="14"/>
  <c r="J18" i="14"/>
  <c r="J15" i="14"/>
  <c r="E15" i="14"/>
  <c r="E19" i="14"/>
  <c r="J19" i="14"/>
  <c r="E13" i="14"/>
  <c r="J13" i="14"/>
  <c r="J16" i="14"/>
  <c r="E16" i="14"/>
  <c r="E20" i="14"/>
  <c r="J20" i="14"/>
  <c r="J14" i="14"/>
  <c r="E14" i="14"/>
  <c r="G30" i="1" l="1"/>
  <c r="G31" i="1"/>
  <c r="G32" i="1"/>
  <c r="G33" i="1"/>
  <c r="G39" i="1"/>
  <c r="G38" i="1"/>
  <c r="G37" i="1"/>
  <c r="D48" i="1" l="1"/>
  <c r="G48" i="1" s="1"/>
  <c r="D47" i="1"/>
  <c r="G47"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AB04AE-F536-46D0-97C5-2881266D11EA}" keepAlive="1" name="Query - FlexLoads" description="Connection to the 'FlexLoads' query in the workbook." type="5" refreshedVersion="8" background="1" saveData="1">
    <dbPr connection="Provider=Microsoft.Mashup.OleDb.1;Data Source=$Workbook$;Location=FlexLoads;Extended Properties=&quot;&quot;" command="SELECT * FROM [FlexLoad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<sst xmlns="http://schemas.openxmlformats.org/spreadsheetml/2006/main" count="1146" uniqueCount="182">
  <si>
    <t>Initial Inputs</t>
  </si>
  <si>
    <t>Idealized Inputs</t>
  </si>
  <si>
    <t>Heat Pump Water Heater</t>
  </si>
  <si>
    <t>AO Smith HP</t>
  </si>
  <si>
    <t>Total Power [kW]</t>
  </si>
  <si>
    <t>Interoperability</t>
  </si>
  <si>
    <t>UCM/DCM ready?</t>
  </si>
  <si>
    <t>Compliant?</t>
  </si>
  <si>
    <t>Data Conformant?</t>
  </si>
  <si>
    <t>Response Conformant?</t>
  </si>
  <si>
    <t>Control</t>
  </si>
  <si>
    <t>Can Schedule?</t>
  </si>
  <si>
    <t>Open Standard?</t>
  </si>
  <si>
    <t>App Exist?</t>
  </si>
  <si>
    <t>Network Connection?</t>
  </si>
  <si>
    <t>Connect to Dynamic Data?</t>
  </si>
  <si>
    <t>Capacity</t>
  </si>
  <si>
    <t>Performance</t>
  </si>
  <si>
    <t>Sustain Time [min]</t>
  </si>
  <si>
    <t>Score Weights</t>
  </si>
  <si>
    <t>W (Capacity)</t>
  </si>
  <si>
    <t>X (Performance)</t>
  </si>
  <si>
    <t>Y (Control)</t>
  </si>
  <si>
    <t>Z (Interop.)</t>
  </si>
  <si>
    <t>Score</t>
  </si>
  <si>
    <t>Max</t>
  </si>
  <si>
    <t>Interop.</t>
  </si>
  <si>
    <t>TFP</t>
  </si>
  <si>
    <t>LME Load (MWh)</t>
  </si>
  <si>
    <t>Start (HH:MM)</t>
  </si>
  <si>
    <t>Stop (HH:MM)</t>
  </si>
  <si>
    <t>Event Duration (min)</t>
  </si>
  <si>
    <t>Timestep (min)</t>
  </si>
  <si>
    <t>FLS  (Ramp-up)</t>
  </si>
  <si>
    <t>FLS (Ramp-down)</t>
  </si>
  <si>
    <t>Adoption</t>
  </si>
  <si>
    <t>Population (N)</t>
  </si>
  <si>
    <t>Sample (n)</t>
  </si>
  <si>
    <t>Variable</t>
  </si>
  <si>
    <t>Input</t>
  </si>
  <si>
    <t>Value</t>
  </si>
  <si>
    <t>CompPwr</t>
  </si>
  <si>
    <t>ResistPwr</t>
  </si>
  <si>
    <t>TankVol</t>
  </si>
  <si>
    <t>CtrlInt</t>
  </si>
  <si>
    <t>HeatCap</t>
  </si>
  <si>
    <t>Tank Volume [gal]</t>
  </si>
  <si>
    <t>Rated COP or UEF</t>
  </si>
  <si>
    <t>Heating Capacity [BTU/hr]</t>
  </si>
  <si>
    <t>Response Time [s]</t>
  </si>
  <si>
    <t>Control Interval [s]</t>
  </si>
  <si>
    <t>Yes</t>
  </si>
  <si>
    <t>FLS</t>
  </si>
  <si>
    <t>Score / 100</t>
  </si>
  <si>
    <t>Ramp-up</t>
  </si>
  <si>
    <t>Ramp-down</t>
  </si>
  <si>
    <t>FLI</t>
  </si>
  <si>
    <t>Score %</t>
  </si>
  <si>
    <t>July - Max</t>
  </si>
  <si>
    <t>RESULTS</t>
  </si>
  <si>
    <t>Upper</t>
  </si>
  <si>
    <t>Average</t>
  </si>
  <si>
    <t>Lower</t>
  </si>
  <si>
    <t>July - Upper</t>
  </si>
  <si>
    <t>July - Average</t>
  </si>
  <si>
    <t>Selection</t>
  </si>
  <si>
    <t>July - Lower</t>
  </si>
  <si>
    <t>December - Max</t>
  </si>
  <si>
    <t>December - Upper</t>
  </si>
  <si>
    <t>December - Average</t>
  </si>
  <si>
    <t>December - Lower</t>
  </si>
  <si>
    <t>Load Under Study</t>
  </si>
  <si>
    <t>Test</t>
  </si>
  <si>
    <t>START, STOP, CFavg autoupdates to reflect front page inputs.</t>
  </si>
  <si>
    <t>15min intervals only</t>
  </si>
  <si>
    <t>DER</t>
  </si>
  <si>
    <t>ERWH</t>
  </si>
  <si>
    <t>Dryer</t>
  </si>
  <si>
    <t>HPWH hybrid</t>
  </si>
  <si>
    <t>L1 EV Charger</t>
  </si>
  <si>
    <t>L2 EV Charger</t>
  </si>
  <si>
    <t>Oven and Range</t>
  </si>
  <si>
    <t>HPWH</t>
  </si>
  <si>
    <t>start</t>
  </si>
  <si>
    <t>stop</t>
  </si>
  <si>
    <t>CFavg</t>
  </si>
  <si>
    <t>t (hr)</t>
  </si>
  <si>
    <t>CFmax</t>
  </si>
  <si>
    <t>CFmin</t>
  </si>
  <si>
    <t>December</t>
  </si>
  <si>
    <t>July</t>
  </si>
  <si>
    <t>Time</t>
  </si>
  <si>
    <t>CF</t>
  </si>
  <si>
    <t>EV Chargers</t>
  </si>
  <si>
    <t>Dryers</t>
  </si>
  <si>
    <t>HVACs</t>
  </si>
  <si>
    <t>Batteries</t>
  </si>
  <si>
    <t>Get Adoption Rate Here!</t>
  </si>
  <si>
    <t>Get # of Oregon Customers Here!</t>
  </si>
  <si>
    <t>Flexible Load</t>
  </si>
  <si>
    <t>Total Customers (N)</t>
  </si>
  <si>
    <t>Adoption Rate (a)</t>
  </si>
  <si>
    <t># of loads (n)</t>
  </si>
  <si>
    <t>Max CF</t>
  </si>
  <si>
    <t>a*(Max CF)</t>
  </si>
  <si>
    <r>
      <rPr>
        <b/>
        <i/>
        <sz val="11"/>
        <color theme="1"/>
        <rFont val="Arial"/>
        <family val="2"/>
      </rPr>
      <t xml:space="preserve">Adoption </t>
    </r>
    <r>
      <rPr>
        <i/>
        <sz val="11"/>
        <color theme="1"/>
        <rFont val="Arial"/>
        <family val="2"/>
      </rPr>
      <t xml:space="preserve">rate and total area customers </t>
    </r>
    <r>
      <rPr>
        <b/>
        <i/>
        <sz val="11"/>
        <color theme="1"/>
        <rFont val="Arial"/>
        <family val="2"/>
      </rPr>
      <t>N</t>
    </r>
    <r>
      <rPr>
        <i/>
        <sz val="11"/>
        <color theme="1"/>
        <rFont val="Arial"/>
        <family val="2"/>
      </rPr>
      <t xml:space="preserve"> can be found in the links above. Max CF can be carried over from the </t>
    </r>
    <r>
      <rPr>
        <b/>
        <i/>
        <sz val="11"/>
        <color theme="1"/>
        <rFont val="Arial"/>
        <family val="2"/>
      </rPr>
      <t>CF Data</t>
    </r>
    <r>
      <rPr>
        <i/>
        <sz val="11"/>
        <color theme="1"/>
        <rFont val="Arial"/>
        <family val="2"/>
      </rPr>
      <t xml:space="preserve"> tab.</t>
    </r>
  </si>
  <si>
    <t>Clothes Dryer</t>
  </si>
  <si>
    <t>EVs (L1)</t>
  </si>
  <si>
    <t>EVs (L2)</t>
  </si>
  <si>
    <t>N (PGE)</t>
  </si>
  <si>
    <t>1. Find the adoption rate linked in the RBSA report sheet
2. Go to the CF Data sheet and find the max CF value in each flexible load profile
3. Set CFrelative to the max value in the case study set to scale the TFP output.</t>
  </si>
  <si>
    <t>Utility</t>
  </si>
  <si>
    <t>PGE</t>
  </si>
  <si>
    <t xml:space="preserve">START/STOP values will copy over from the front page. COPY/PASTE Load data below. </t>
  </si>
  <si>
    <t>Peak E [MWh]</t>
  </si>
  <si>
    <t>-</t>
  </si>
  <si>
    <t>Flex Load Type</t>
  </si>
  <si>
    <t>Order</t>
  </si>
  <si>
    <t>Rated Compressor Power [kW]</t>
  </si>
  <si>
    <t>Rated Resistance Element Power [kW]</t>
  </si>
  <si>
    <t>MaxWaterTemp</t>
  </si>
  <si>
    <t>Maximum Water Temperature [°F]</t>
  </si>
  <si>
    <t>MinWaterTemp</t>
  </si>
  <si>
    <t>Minimum Water Temperature [°F]</t>
  </si>
  <si>
    <t>COP/UEF</t>
  </si>
  <si>
    <t>RespTime</t>
  </si>
  <si>
    <t>Electric Resistance Water Heater</t>
  </si>
  <si>
    <t>HVAC</t>
  </si>
  <si>
    <t>EV Charger</t>
  </si>
  <si>
    <t>Battery</t>
  </si>
  <si>
    <t>Generic</t>
  </si>
  <si>
    <t>Genetic</t>
  </si>
  <si>
    <t>Metric Coefficient</t>
  </si>
  <si>
    <t>A</t>
  </si>
  <si>
    <t>B</t>
  </si>
  <si>
    <t>C</t>
  </si>
  <si>
    <t>D</t>
  </si>
  <si>
    <t>E</t>
  </si>
  <si>
    <t>F</t>
  </si>
  <si>
    <t>G</t>
  </si>
  <si>
    <t>H</t>
  </si>
  <si>
    <t>I</t>
  </si>
  <si>
    <t>J</t>
  </si>
  <si>
    <t>K</t>
  </si>
  <si>
    <t>L</t>
  </si>
  <si>
    <t>M</t>
  </si>
  <si>
    <t>N</t>
  </si>
  <si>
    <t>O</t>
  </si>
  <si>
    <t>Normalized Load Under Study - Ramp Up</t>
  </si>
  <si>
    <t>Normalized Load Under Study - Ramp Down</t>
  </si>
  <si>
    <t>Ideal Flex Load - Ramp Up</t>
  </si>
  <si>
    <t>Non-Ideal Flex Load - Ramp Up</t>
  </si>
  <si>
    <t>Non-Ideal Flex Load - Ramp Down</t>
  </si>
  <si>
    <t>Ideal Flex Load - Ramp Down</t>
  </si>
  <si>
    <t>FLC</t>
  </si>
  <si>
    <t>Score (MWh)</t>
  </si>
  <si>
    <t>CALCULATOR VARIABLES</t>
  </si>
  <si>
    <t>Adoption Rate (α)</t>
  </si>
  <si>
    <t>Participation (ρ)</t>
  </si>
  <si>
    <t>% Reachable (ω)</t>
  </si>
  <si>
    <t>UCD/DCMReady?</t>
  </si>
  <si>
    <t>ResponseConformant?</t>
  </si>
  <si>
    <t>DataConformant?</t>
  </si>
  <si>
    <t>UCD/DCM Ready?</t>
  </si>
  <si>
    <t>CanSchedule</t>
  </si>
  <si>
    <t>AppExist</t>
  </si>
  <si>
    <t>NetworkConnect</t>
  </si>
  <si>
    <t>ConnectDynamicData</t>
  </si>
  <si>
    <t>OpenStandard</t>
  </si>
  <si>
    <t>No</t>
  </si>
  <si>
    <t>RUCap</t>
  </si>
  <si>
    <t>RDCap</t>
  </si>
  <si>
    <t>Ramp-up Reserve Capacity [kW]</t>
  </si>
  <si>
    <t>Ramp-down Reserve Capacity [kW]</t>
  </si>
  <si>
    <t>RU Reserve Capacity [kW]</t>
  </si>
  <si>
    <t>RD Reserve Capacity [kW]</t>
  </si>
  <si>
    <t>RU-CF_event</t>
  </si>
  <si>
    <t>RD-CF_event</t>
  </si>
  <si>
    <t>INTERPRETER_WIN</t>
  </si>
  <si>
    <t>PYTHONPATH</t>
  </si>
  <si>
    <t>C:\Users\othma\FlexLoadCalculator</t>
  </si>
  <si>
    <t>C:\Users\othma\FlexLoadCalculator\.venv\Scripts\python.exe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</si>
</sst>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hh:mm"/>
    <numFmt numFmtId="167" formatCode="h:mm;@"/>
    <numFmt numFmtId="168" formatCode="0.0000"/>
  </numFmts>
  <fonts count="25">
    <font>
      <sz val="11"/>
      <color theme="1"/>
      <name val="Aptos Narrow"/>
      <family val="2"/>
      <scheme val="minor"/>
    </font>
    <font>
      <b/>
      <sz val="11"/>
      <color theme="1"/>
      <name val="Aptos Narrow"/>
      <family val="2"/>
      <scheme val="minor"/>
    </font>
    <font>
      <b/>
      <sz val="18"/>
      <color theme="1"/>
      <name val="Aptos Narrow"/>
      <family val="2"/>
      <scheme val="minor"/>
    </font>
    <font>
      <sz val="11"/>
      <color rgb="FF3F3F76"/>
      <name val="Aptos Narrow"/>
      <family val="2"/>
      <scheme val="minor"/>
    </font>
    <font>
      <i/>
      <sz val="11"/>
      <color theme="1"/>
      <name val="Arial"/>
      <family val="2"/>
    </font>
    <font>
      <sz val="11"/>
      <color theme="1"/>
      <name val="Aptos Narrow"/>
      <family val="2"/>
    </font>
    <font>
      <b/>
      <sz val="14"/>
      <color theme="1"/>
      <name val="Aptos Narrow"/>
      <family val="2"/>
    </font>
    <font>
      <sz val="11"/>
      <name val="Aptos Narrow"/>
      <family val="2"/>
    </font>
    <font>
      <b/>
      <sz val="14"/>
      <color theme="1"/>
      <name val="Arial"/>
      <family val="2"/>
    </font>
    <font>
      <sz val="14"/>
      <color theme="1"/>
      <name val="Aptos Narrow"/>
      <family val="2"/>
    </font>
    <font>
      <sz val="14"/>
      <color theme="1"/>
      <name val="Arial"/>
      <family val="2"/>
    </font>
    <font>
      <b/>
      <sz val="11"/>
      <color theme="1"/>
      <name val="Aptos Narrow"/>
      <family val="2"/>
    </font>
    <font>
      <u/>
      <sz val="11"/>
      <color rgb="FF467886"/>
      <name val="Arial"/>
      <family val="2"/>
    </font>
    <font>
      <u/>
      <sz val="11"/>
      <color rgb="FF0000FF"/>
      <name val="Arial"/>
      <family val="2"/>
    </font>
    <font>
      <b/>
      <sz val="11"/>
      <color theme="1"/>
      <name val="Arial"/>
      <family val="2"/>
    </font>
    <font>
      <sz val="11"/>
      <color theme="1"/>
      <name val="Arial"/>
      <family val="2"/>
    </font>
    <font>
      <b/>
      <i/>
      <sz val="11"/>
      <color theme="1"/>
      <name val="Arial"/>
      <family val="2"/>
    </font>
    <font>
      <sz val="11"/>
      <color rgb="FF000000"/>
      <name val="&quot;Aptos Narrow&quot;"/>
    </font>
    <font>
      <sz val="11"/>
      <color theme="1"/>
      <name val="Arial"/>
      <family val="2"/>
    </font>
    <font>
      <b/>
      <sz val="11"/>
      <color theme="1"/>
      <name val="Arial"/>
      <family val="2"/>
    </font>
    <font>
      <b/>
      <sz val="20"/>
      <color rgb="FFFF6600"/>
      <name val="Arial"/>
      <family val="2"/>
    </font>
    <font>
      <b/>
      <sz val="24"/>
      <color rgb="FFFF6600"/>
      <name val="Arial"/>
      <family val="2"/>
    </font>
    <font>
      <b/>
      <sz val="18"/>
      <color theme="1"/>
      <name val="Arial"/>
      <family val="2"/>
    </font>
    <font>
      <sz val="11"/>
      <name val="Aptos Narrow"/>
      <family val="2"/>
      <scheme val="minor"/>
    </font>
    <font>
      <sz val="11"/>
      <name val="Arial"/>
      <family val="2"/>
    </font>
  </fonts>
  <fills count="33">
    <fill>
      <patternFill patternType="none"/>
    </fill>
    <fill>
      <patternFill patternType="gray125"/>
    </fill>
    <fill>
      <patternFill patternType="solid">
        <fgColor theme="7"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rgb="FFFFCC99"/>
      </patternFill>
    </fill>
    <fill>
      <patternFill patternType="solid">
        <fgColor theme="9" tint="0.79998168889431442"/>
        <bgColor theme="9" tint="0.79998168889431442"/>
      </patternFill>
    </fill>
    <fill>
      <patternFill patternType="solid">
        <fgColor rgb="FFD9F2D0"/>
        <bgColor rgb="FFD9F2D0"/>
      </patternFill>
    </fill>
    <fill>
      <patternFill patternType="solid">
        <fgColor rgb="FFF1CEEE"/>
        <bgColor rgb="FFF1CEEE"/>
      </patternFill>
    </fill>
    <fill>
      <patternFill patternType="solid">
        <fgColor rgb="FFB6D7A8"/>
        <bgColor rgb="FFB6D7A8"/>
      </patternFill>
    </fill>
    <fill>
      <patternFill patternType="solid">
        <fgColor rgb="FFA2C4C9"/>
        <bgColor rgb="FFA2C4C9"/>
      </patternFill>
    </fill>
    <fill>
      <patternFill patternType="solid">
        <fgColor rgb="FFD5A6BD"/>
        <bgColor rgb="FFD5A6BD"/>
      </patternFill>
    </fill>
    <fill>
      <patternFill patternType="solid">
        <fgColor rgb="FFFFE599"/>
        <bgColor rgb="FFFFE599"/>
      </patternFill>
    </fill>
    <fill>
      <patternFill patternType="solid">
        <fgColor rgb="FFA4C2F4"/>
        <bgColor rgb="FFA4C2F4"/>
      </patternFill>
    </fill>
    <fill>
      <patternFill patternType="solid">
        <fgColor rgb="FFFFFF00"/>
        <bgColor rgb="FFFFFF00"/>
      </patternFill>
    </fill>
    <fill>
      <patternFill patternType="solid">
        <fgColor rgb="FF95DCF7"/>
        <bgColor rgb="FF95DCF7"/>
      </patternFill>
    </fill>
    <fill>
      <patternFill patternType="solid">
        <fgColor rgb="FFF6C6AC"/>
        <bgColor rgb="FFF6C6AC"/>
      </patternFill>
    </fill>
    <fill>
      <patternFill patternType="solid">
        <fgColor theme="4"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rgb="FFFFF2CC"/>
        <bgColor rgb="FFFFF2CC"/>
      </patternFill>
    </fill>
    <fill>
      <patternFill patternType="solid">
        <fgColor rgb="FFBDE895"/>
        <bgColor rgb="FFBDE895"/>
      </patternFill>
    </fill>
    <fill>
      <patternFill patternType="solid">
        <fgColor theme="0"/>
        <bgColor indexed="64"/>
      </patternFill>
    </fill>
    <fill>
      <patternFill patternType="solid">
        <fgColor theme="9" tint="0.59999389629810485"/>
        <bgColor rgb="FFD9F2D0"/>
      </patternFill>
    </fill>
    <fill>
      <patternFill patternType="solid">
        <fgColor theme="6" tint="0.59999389629810485"/>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theme="3" tint="0.749992370372631"/>
        <bgColor rgb="FFF1CEEE"/>
      </patternFill>
    </fill>
    <fill>
      <patternFill patternType="solid">
        <fgColor theme="6" tint="0.59999389629810485"/>
        <bgColor rgb="FFD9F2D0"/>
      </patternFill>
    </fill>
    <fill>
      <patternFill patternType="solid">
        <fgColor theme="4" tint="0.59987182226020086"/>
        <bgColor rgb="FF95DCF7"/>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theme="9" tint="0.39997558519241921"/>
      </left>
      <right/>
      <top style="thin">
        <color theme="9" tint="0.39997558519241921"/>
      </top>
      <bottom style="thin">
        <color theme="9" tint="0.39997558519241921"/>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style="thin">
        <color rgb="FF000000"/>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rgb="FF7F7F7F"/>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s>
  <cellStyleXfs count="2">
    <xf numFmtId="0" fontId="0" fillId="0" borderId="0"/>
    <xf numFmtId="0" fontId="3" fillId="8" borderId="26" applyNumberFormat="0" applyAlignment="0" applyProtection="0"/>
  </cellStyleXfs>
  <cellXfs count="350">
    <xf numFmtId="0" fontId="0" fillId="0" borderId="0" xfId="0"/>
    <xf numFmtId="0" fontId="0" fillId="0" borderId="5" xfId="0" applyBorder="1"/>
    <xf numFmtId="0" fontId="0" fillId="0" borderId="9" xfId="0" applyBorder="1" applyAlignment="1">
      <alignment horizontal="center"/>
    </xf>
    <xf numFmtId="0" fontId="0" fillId="0" borderId="20"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24" xfId="0" applyBorder="1" applyAlignment="1">
      <alignment horizontal="center"/>
    </xf>
    <xf numFmtId="164" fontId="0" fillId="0" borderId="14" xfId="0" applyNumberFormat="1" applyBorder="1" applyAlignment="1">
      <alignment horizontal="center"/>
    </xf>
    <xf numFmtId="0" fontId="0" fillId="0" borderId="17" xfId="0" applyBorder="1" applyAlignment="1">
      <alignment horizontal="center"/>
    </xf>
    <xf numFmtId="0" fontId="0" fillId="9" borderId="27" xfId="0" applyFill="1" applyBorder="1"/>
    <xf numFmtId="0" fontId="0" fillId="0" borderId="27" xfId="0" applyBorder="1"/>
    <xf numFmtId="0" fontId="5" fillId="0" borderId="0" xfId="0" applyFont="1"/>
    <xf numFmtId="0" fontId="6" fillId="10" borderId="31" xfId="0" applyFont="1" applyFill="1" applyBorder="1"/>
    <xf numFmtId="0" fontId="6" fillId="11" borderId="31" xfId="0" applyFont="1" applyFill="1" applyBorder="1"/>
    <xf numFmtId="0" fontId="6" fillId="12" borderId="31" xfId="0" applyFont="1" applyFill="1" applyBorder="1"/>
    <xf numFmtId="0" fontId="8" fillId="0" borderId="0" xfId="0" applyFont="1" applyAlignment="1">
      <alignment horizontal="center"/>
    </xf>
    <xf numFmtId="0" fontId="6" fillId="13" borderId="31" xfId="0" applyFont="1" applyFill="1" applyBorder="1"/>
    <xf numFmtId="0" fontId="6" fillId="14" borderId="31" xfId="0" applyFont="1" applyFill="1" applyBorder="1"/>
    <xf numFmtId="0" fontId="6" fillId="15" borderId="31" xfId="0" applyFont="1" applyFill="1" applyBorder="1"/>
    <xf numFmtId="0" fontId="6" fillId="16" borderId="31" xfId="0" applyFont="1" applyFill="1" applyBorder="1"/>
    <xf numFmtId="0" fontId="6" fillId="10" borderId="34" xfId="0" applyFont="1" applyFill="1" applyBorder="1"/>
    <xf numFmtId="0" fontId="6" fillId="11" borderId="34" xfId="0" applyFont="1" applyFill="1" applyBorder="1"/>
    <xf numFmtId="0" fontId="6" fillId="12" borderId="34" xfId="0" applyFont="1" applyFill="1" applyBorder="1"/>
    <xf numFmtId="20" fontId="10" fillId="0" borderId="0" xfId="0" applyNumberFormat="1" applyFont="1" applyAlignment="1">
      <alignment horizontal="center"/>
    </xf>
    <xf numFmtId="0" fontId="6" fillId="13" borderId="34" xfId="0" applyFont="1" applyFill="1" applyBorder="1"/>
    <xf numFmtId="0" fontId="6" fillId="14" borderId="34" xfId="0" applyFont="1" applyFill="1" applyBorder="1"/>
    <xf numFmtId="0" fontId="6" fillId="15" borderId="34" xfId="0" applyFont="1" applyFill="1" applyBorder="1"/>
    <xf numFmtId="0" fontId="6" fillId="16" borderId="34" xfId="0" applyFont="1" applyFill="1" applyBorder="1"/>
    <xf numFmtId="0" fontId="5" fillId="0" borderId="0" xfId="0" applyFont="1" applyAlignment="1">
      <alignment vertical="center"/>
    </xf>
    <xf numFmtId="0" fontId="8" fillId="10" borderId="34" xfId="0" applyFont="1" applyFill="1" applyBorder="1" applyAlignment="1">
      <alignment vertical="center"/>
    </xf>
    <xf numFmtId="0" fontId="8" fillId="11" borderId="34" xfId="0" applyFont="1" applyFill="1" applyBorder="1" applyAlignment="1">
      <alignment vertical="center"/>
    </xf>
    <xf numFmtId="0" fontId="8" fillId="12" borderId="34" xfId="0" applyFont="1" applyFill="1" applyBorder="1" applyAlignment="1">
      <alignment vertical="center"/>
    </xf>
    <xf numFmtId="0" fontId="6" fillId="12" borderId="34" xfId="0" applyFont="1" applyFill="1" applyBorder="1" applyAlignment="1">
      <alignment vertical="center"/>
    </xf>
    <xf numFmtId="2" fontId="9" fillId="0" borderId="0" xfId="0" applyNumberFormat="1" applyFont="1" applyAlignment="1">
      <alignment horizontal="center" vertical="center"/>
    </xf>
    <xf numFmtId="0" fontId="6" fillId="13" borderId="34" xfId="0" applyFont="1" applyFill="1" applyBorder="1" applyAlignment="1">
      <alignment vertical="center"/>
    </xf>
    <xf numFmtId="0" fontId="6" fillId="14" borderId="34" xfId="0" applyFont="1" applyFill="1" applyBorder="1" applyAlignment="1">
      <alignment vertical="center"/>
    </xf>
    <xf numFmtId="0" fontId="8" fillId="15" borderId="34" xfId="0" applyFont="1" applyFill="1" applyBorder="1" applyAlignment="1">
      <alignment vertical="center"/>
    </xf>
    <xf numFmtId="0" fontId="8" fillId="16" borderId="34" xfId="0" applyFont="1" applyFill="1" applyBorder="1" applyAlignment="1">
      <alignment vertical="center"/>
    </xf>
    <xf numFmtId="0" fontId="8" fillId="10" borderId="34" xfId="0" applyFont="1" applyFill="1" applyBorder="1"/>
    <xf numFmtId="2" fontId="5" fillId="0" borderId="0" xfId="0" applyNumberFormat="1" applyFont="1"/>
    <xf numFmtId="0" fontId="8" fillId="11" borderId="34" xfId="0" applyFont="1" applyFill="1" applyBorder="1"/>
    <xf numFmtId="0" fontId="8" fillId="12" borderId="34" xfId="0" applyFont="1" applyFill="1" applyBorder="1"/>
    <xf numFmtId="4" fontId="9" fillId="0" borderId="0" xfId="0" applyNumberFormat="1" applyFont="1" applyAlignment="1">
      <alignment horizontal="center"/>
    </xf>
    <xf numFmtId="0" fontId="8" fillId="13" borderId="34" xfId="0" applyFont="1" applyFill="1" applyBorder="1"/>
    <xf numFmtId="0" fontId="8" fillId="14" borderId="34" xfId="0" applyFont="1" applyFill="1" applyBorder="1"/>
    <xf numFmtId="0" fontId="8" fillId="15" borderId="34" xfId="0" applyFont="1" applyFill="1" applyBorder="1"/>
    <xf numFmtId="0" fontId="8" fillId="16" borderId="34" xfId="0" applyFont="1" applyFill="1" applyBorder="1"/>
    <xf numFmtId="0" fontId="5" fillId="0" borderId="0" xfId="0" applyFont="1" applyAlignment="1">
      <alignment horizontal="center"/>
    </xf>
    <xf numFmtId="0" fontId="5" fillId="0" borderId="0" xfId="0" applyFont="1" applyAlignment="1">
      <alignment horizontal="center" vertical="center"/>
    </xf>
    <xf numFmtId="0" fontId="11" fillId="0" borderId="34" xfId="0" applyFont="1" applyBorder="1" applyAlignment="1">
      <alignment horizontal="center" wrapText="1"/>
    </xf>
    <xf numFmtId="2" fontId="11" fillId="0" borderId="34" xfId="0" applyNumberFormat="1" applyFont="1" applyBorder="1" applyAlignment="1">
      <alignment horizontal="center" vertical="center"/>
    </xf>
    <xf numFmtId="0" fontId="11" fillId="0" borderId="34" xfId="0" applyFont="1" applyBorder="1" applyAlignment="1">
      <alignment horizontal="center" vertical="center"/>
    </xf>
    <xf numFmtId="0" fontId="11" fillId="0" borderId="0" xfId="0" applyFont="1" applyAlignment="1">
      <alignment horizontal="center" vertical="center"/>
    </xf>
    <xf numFmtId="20" fontId="5" fillId="0" borderId="34" xfId="0" applyNumberFormat="1" applyFont="1" applyBorder="1" applyAlignment="1">
      <alignment horizontal="center"/>
    </xf>
    <xf numFmtId="2" fontId="5" fillId="0" borderId="34" xfId="0" applyNumberFormat="1" applyFont="1" applyBorder="1" applyAlignment="1">
      <alignment horizontal="center"/>
    </xf>
    <xf numFmtId="20" fontId="5" fillId="0" borderId="34" xfId="0" applyNumberFormat="1" applyFont="1" applyBorder="1" applyAlignment="1">
      <alignment horizontal="center" vertical="center"/>
    </xf>
    <xf numFmtId="2" fontId="5" fillId="0" borderId="34" xfId="0" applyNumberFormat="1" applyFont="1" applyBorder="1" applyAlignment="1">
      <alignment horizontal="center" vertical="center"/>
    </xf>
    <xf numFmtId="2" fontId="5" fillId="0" borderId="0" xfId="0" applyNumberFormat="1" applyFont="1" applyAlignment="1">
      <alignment horizontal="center" vertical="center"/>
    </xf>
    <xf numFmtId="2" fontId="5" fillId="0" borderId="0" xfId="0" applyNumberFormat="1" applyFont="1" applyAlignment="1">
      <alignment horizontal="left"/>
    </xf>
    <xf numFmtId="0" fontId="14" fillId="0" borderId="0" xfId="0" applyFont="1" applyAlignment="1">
      <alignment horizontal="center" wrapText="1"/>
    </xf>
    <xf numFmtId="0" fontId="14" fillId="0" borderId="0" xfId="0" applyFont="1" applyAlignment="1">
      <alignment horizontal="center" vertical="center"/>
    </xf>
    <xf numFmtId="0" fontId="14" fillId="23" borderId="34" xfId="0" applyFont="1" applyFill="1" applyBorder="1" applyAlignment="1">
      <alignment horizontal="center" vertical="center" wrapText="1"/>
    </xf>
    <xf numFmtId="0" fontId="14" fillId="23" borderId="34" xfId="0" applyFont="1" applyFill="1" applyBorder="1" applyAlignment="1">
      <alignment horizontal="center" vertical="center"/>
    </xf>
    <xf numFmtId="0" fontId="5" fillId="0" borderId="0" xfId="0" applyFont="1" applyAlignment="1">
      <alignment wrapText="1"/>
    </xf>
    <xf numFmtId="0" fontId="15" fillId="0" borderId="34" xfId="0" applyFont="1" applyBorder="1"/>
    <xf numFmtId="0" fontId="15" fillId="0" borderId="34" xfId="0" applyFont="1" applyBorder="1" applyAlignment="1">
      <alignment horizontal="center"/>
    </xf>
    <xf numFmtId="0" fontId="15" fillId="17" borderId="34" xfId="0" applyFont="1" applyFill="1" applyBorder="1" applyAlignment="1">
      <alignment horizontal="center"/>
    </xf>
    <xf numFmtId="1" fontId="5" fillId="0" borderId="34" xfId="0" applyNumberFormat="1" applyFont="1" applyBorder="1" applyAlignment="1">
      <alignment horizontal="center"/>
    </xf>
    <xf numFmtId="2" fontId="15" fillId="17" borderId="34" xfId="0" applyNumberFormat="1" applyFont="1" applyFill="1" applyBorder="1" applyAlignment="1">
      <alignment horizontal="center"/>
    </xf>
    <xf numFmtId="2" fontId="15" fillId="0" borderId="34" xfId="0" applyNumberFormat="1" applyFont="1" applyBorder="1" applyAlignment="1">
      <alignment horizontal="center" vertical="center"/>
    </xf>
    <xf numFmtId="0" fontId="15" fillId="0" borderId="34" xfId="0" applyFont="1" applyBorder="1" applyAlignment="1">
      <alignment horizontal="center" vertical="center"/>
    </xf>
    <xf numFmtId="0" fontId="15" fillId="17" borderId="34" xfId="0" applyFont="1" applyFill="1" applyBorder="1" applyAlignment="1">
      <alignment horizontal="center" vertical="center"/>
    </xf>
    <xf numFmtId="1" fontId="5" fillId="0" borderId="34" xfId="0" applyNumberFormat="1" applyFont="1" applyBorder="1" applyAlignment="1">
      <alignment horizontal="center" vertical="center"/>
    </xf>
    <xf numFmtId="2" fontId="15" fillId="17" borderId="34" xfId="0" applyNumberFormat="1" applyFont="1" applyFill="1" applyBorder="1" applyAlignment="1">
      <alignment horizontal="center" vertical="center"/>
    </xf>
    <xf numFmtId="0" fontId="14" fillId="23" borderId="34" xfId="0" applyFont="1" applyFill="1" applyBorder="1"/>
    <xf numFmtId="0" fontId="14" fillId="24" borderId="34" xfId="0" applyFont="1" applyFill="1" applyBorder="1" applyAlignment="1">
      <alignment horizontal="center" wrapText="1"/>
    </xf>
    <xf numFmtId="0" fontId="14" fillId="24" borderId="34" xfId="0" applyFont="1" applyFill="1" applyBorder="1" applyAlignment="1">
      <alignment horizontal="center" vertical="center"/>
    </xf>
    <xf numFmtId="0" fontId="14" fillId="24" borderId="34" xfId="0" applyFont="1" applyFill="1" applyBorder="1"/>
    <xf numFmtId="2" fontId="15" fillId="0" borderId="34" xfId="0" applyNumberFormat="1" applyFont="1" applyBorder="1" applyAlignment="1">
      <alignment horizontal="center"/>
    </xf>
    <xf numFmtId="0" fontId="14" fillId="24" borderId="34" xfId="0" applyFont="1" applyFill="1" applyBorder="1" applyAlignment="1">
      <alignment vertical="center" wrapText="1"/>
    </xf>
    <xf numFmtId="0" fontId="15" fillId="0" borderId="0" xfId="0" applyFont="1"/>
    <xf numFmtId="0" fontId="8" fillId="18" borderId="31" xfId="0" applyFont="1" applyFill="1" applyBorder="1"/>
    <xf numFmtId="0" fontId="8" fillId="19" borderId="31" xfId="0" applyFont="1" applyFill="1" applyBorder="1"/>
    <xf numFmtId="0" fontId="6" fillId="18" borderId="34" xfId="0" applyFont="1" applyFill="1" applyBorder="1"/>
    <xf numFmtId="20" fontId="5" fillId="0" borderId="0" xfId="0" applyNumberFormat="1" applyFont="1"/>
    <xf numFmtId="0" fontId="6" fillId="19" borderId="34" xfId="0" applyFont="1" applyFill="1" applyBorder="1"/>
    <xf numFmtId="0" fontId="14" fillId="18" borderId="34" xfId="0" applyFont="1" applyFill="1" applyBorder="1" applyAlignment="1">
      <alignment horizontal="center"/>
    </xf>
    <xf numFmtId="0" fontId="14" fillId="18" borderId="34" xfId="0" applyFont="1" applyFill="1" applyBorder="1"/>
    <xf numFmtId="0" fontId="14" fillId="19" borderId="34" xfId="0" applyFont="1" applyFill="1" applyBorder="1" applyAlignment="1">
      <alignment horizontal="center"/>
    </xf>
    <xf numFmtId="0" fontId="14" fillId="19" borderId="34" xfId="0" applyFont="1" applyFill="1" applyBorder="1"/>
    <xf numFmtId="1" fontId="5" fillId="0" borderId="34" xfId="0" applyNumberFormat="1" applyFont="1" applyBorder="1"/>
    <xf numFmtId="2" fontId="14" fillId="0" borderId="34" xfId="0" applyNumberFormat="1" applyFont="1" applyBorder="1" applyAlignment="1">
      <alignment horizontal="center" vertical="center"/>
    </xf>
    <xf numFmtId="0" fontId="5" fillId="0" borderId="34" xfId="0" applyFont="1" applyBorder="1"/>
    <xf numFmtId="2" fontId="5" fillId="0" borderId="34" xfId="0" applyNumberFormat="1" applyFont="1" applyBorder="1"/>
    <xf numFmtId="20" fontId="15" fillId="0" borderId="34" xfId="0" applyNumberFormat="1" applyFont="1" applyBorder="1" applyAlignment="1">
      <alignment horizontal="center"/>
    </xf>
    <xf numFmtId="0" fontId="17" fillId="0" borderId="0" xfId="0" applyFont="1" applyAlignment="1">
      <alignment horizontal="right"/>
    </xf>
    <xf numFmtId="164" fontId="0" fillId="0" borderId="0" xfId="0" applyNumberFormat="1"/>
    <xf numFmtId="0" fontId="18" fillId="0" borderId="34" xfId="0" applyFont="1" applyBorder="1"/>
    <xf numFmtId="0" fontId="0" fillId="0" borderId="57" xfId="0" applyBorder="1" applyAlignment="1">
      <alignment horizontal="center"/>
    </xf>
    <xf numFmtId="1" fontId="0" fillId="0" borderId="0" xfId="0" applyNumberFormat="1"/>
    <xf numFmtId="0" fontId="0" fillId="25" borderId="0" xfId="0" applyFill="1" applyAlignment="1">
      <alignment horizontal="center"/>
    </xf>
    <xf numFmtId="0" fontId="0" fillId="0" borderId="19" xfId="0" applyBorder="1" applyAlignment="1">
      <alignment horizontal="center"/>
    </xf>
    <xf numFmtId="0" fontId="0" fillId="0" borderId="16" xfId="0" applyBorder="1" applyAlignment="1">
      <alignment horizontal="center"/>
    </xf>
    <xf numFmtId="0" fontId="0" fillId="0" borderId="56" xfId="0" applyBorder="1" applyAlignment="1">
      <alignment horizontal="center"/>
    </xf>
    <xf numFmtId="0" fontId="0" fillId="25" borderId="1" xfId="0" applyFill="1" applyBorder="1"/>
    <xf numFmtId="0" fontId="0" fillId="25" borderId="2" xfId="0" applyFill="1" applyBorder="1"/>
    <xf numFmtId="0" fontId="0" fillId="25" borderId="3" xfId="0" applyFill="1" applyBorder="1"/>
    <xf numFmtId="0" fontId="0" fillId="25" borderId="4" xfId="0" applyFill="1" applyBorder="1"/>
    <xf numFmtId="0" fontId="0" fillId="25" borderId="0" xfId="0" applyFill="1"/>
    <xf numFmtId="0" fontId="0" fillId="25" borderId="5" xfId="0" applyFill="1" applyBorder="1"/>
    <xf numFmtId="0" fontId="7" fillId="25" borderId="0" xfId="0" applyFont="1" applyFill="1"/>
    <xf numFmtId="0" fontId="0" fillId="25" borderId="20" xfId="0" applyFill="1" applyBorder="1" applyAlignment="1">
      <alignment horizontal="center"/>
    </xf>
    <xf numFmtId="164" fontId="15" fillId="25" borderId="0" xfId="0" applyNumberFormat="1" applyFont="1" applyFill="1" applyAlignment="1">
      <alignment horizontal="center"/>
    </xf>
    <xf numFmtId="0" fontId="0" fillId="25" borderId="11" xfId="0" applyFill="1" applyBorder="1" applyAlignment="1">
      <alignment horizontal="center"/>
    </xf>
    <xf numFmtId="0" fontId="5" fillId="25" borderId="0" xfId="0" applyFont="1" applyFill="1" applyAlignment="1">
      <alignment horizontal="center" vertical="center"/>
    </xf>
    <xf numFmtId="0" fontId="0" fillId="25" borderId="14" xfId="0" applyFill="1" applyBorder="1" applyAlignment="1">
      <alignment horizontal="center"/>
    </xf>
    <xf numFmtId="0" fontId="0" fillId="25" borderId="17" xfId="0" applyFill="1" applyBorder="1" applyAlignment="1">
      <alignment horizontal="center"/>
    </xf>
    <xf numFmtId="1" fontId="0" fillId="25" borderId="57" xfId="0" applyNumberFormat="1" applyFill="1" applyBorder="1" applyAlignment="1">
      <alignment horizontal="center"/>
    </xf>
    <xf numFmtId="0" fontId="15" fillId="25" borderId="0" xfId="0" applyFont="1" applyFill="1" applyAlignment="1">
      <alignment horizontal="center" vertical="center"/>
    </xf>
    <xf numFmtId="0" fontId="0" fillId="25" borderId="25" xfId="0" applyFill="1" applyBorder="1" applyAlignment="1">
      <alignment horizontal="center"/>
    </xf>
    <xf numFmtId="0" fontId="0" fillId="25" borderId="19" xfId="0" applyFill="1" applyBorder="1" applyAlignment="1">
      <alignment horizontal="center" vertical="center"/>
    </xf>
    <xf numFmtId="0" fontId="0" fillId="25" borderId="9" xfId="0" applyFill="1" applyBorder="1" applyAlignment="1">
      <alignment horizontal="center" vertical="center"/>
    </xf>
    <xf numFmtId="0" fontId="0" fillId="25" borderId="13" xfId="0" applyFill="1" applyBorder="1" applyAlignment="1">
      <alignment horizontal="center" vertical="center"/>
    </xf>
    <xf numFmtId="0" fontId="0" fillId="25" borderId="16" xfId="0" applyFill="1" applyBorder="1" applyAlignment="1">
      <alignment horizontal="center" vertical="center"/>
    </xf>
    <xf numFmtId="0" fontId="0" fillId="25" borderId="56" xfId="0" applyFill="1" applyBorder="1" applyAlignment="1">
      <alignment horizontal="center" vertical="center"/>
    </xf>
    <xf numFmtId="0" fontId="0" fillId="25" borderId="24" xfId="0" applyFill="1" applyBorder="1" applyAlignment="1">
      <alignment horizontal="center" vertical="center"/>
    </xf>
    <xf numFmtId="1" fontId="0" fillId="25" borderId="14" xfId="0" applyNumberFormat="1" applyFill="1" applyBorder="1" applyAlignment="1">
      <alignment horizontal="center"/>
    </xf>
    <xf numFmtId="0" fontId="0" fillId="25" borderId="6" xfId="0" applyFill="1" applyBorder="1"/>
    <xf numFmtId="0" fontId="0" fillId="25" borderId="7" xfId="0" applyFill="1" applyBorder="1"/>
    <xf numFmtId="0" fontId="0" fillId="25" borderId="8" xfId="0" applyFill="1" applyBorder="1"/>
    <xf numFmtId="0" fontId="0" fillId="25" borderId="20" xfId="0" applyFill="1" applyBorder="1" applyAlignment="1">
      <alignment horizontal="center" vertical="center"/>
    </xf>
    <xf numFmtId="164" fontId="15" fillId="25" borderId="0" xfId="0" applyNumberFormat="1" applyFont="1" applyFill="1" applyAlignment="1">
      <alignment horizontal="center" vertical="center"/>
    </xf>
    <xf numFmtId="0" fontId="0" fillId="25" borderId="0" xfId="0" applyFill="1" applyAlignment="1">
      <alignment horizontal="center" vertical="center"/>
    </xf>
    <xf numFmtId="0" fontId="0" fillId="25" borderId="11" xfId="0" applyFill="1" applyBorder="1" applyAlignment="1">
      <alignment horizontal="center" vertical="center"/>
    </xf>
    <xf numFmtId="0" fontId="0" fillId="25" borderId="14" xfId="0" applyFill="1" applyBorder="1" applyAlignment="1">
      <alignment horizontal="center" vertical="center"/>
    </xf>
    <xf numFmtId="0" fontId="0" fillId="25" borderId="17" xfId="0" applyFill="1" applyBorder="1" applyAlignment="1">
      <alignment horizontal="center" vertical="center"/>
    </xf>
    <xf numFmtId="1" fontId="0" fillId="25" borderId="57" xfId="0" applyNumberFormat="1" applyFill="1" applyBorder="1" applyAlignment="1">
      <alignment horizontal="center" vertical="center"/>
    </xf>
    <xf numFmtId="0" fontId="0" fillId="25" borderId="25" xfId="0" applyFill="1" applyBorder="1" applyAlignment="1">
      <alignment horizontal="center" vertical="center"/>
    </xf>
    <xf numFmtId="0" fontId="2" fillId="25" borderId="0" xfId="0" applyFont="1" applyFill="1" applyAlignment="1">
      <alignment horizontal="center" vertical="center"/>
    </xf>
    <xf numFmtId="0" fontId="18" fillId="25" borderId="0" xfId="0" applyFont="1" applyFill="1"/>
    <xf numFmtId="0" fontId="19" fillId="25" borderId="0" xfId="0" applyFont="1" applyFill="1" applyAlignment="1">
      <alignment horizontal="center"/>
    </xf>
    <xf numFmtId="0" fontId="18" fillId="3" borderId="10" xfId="0" applyFont="1" applyFill="1" applyBorder="1" applyAlignment="1">
      <alignment horizontal="center"/>
    </xf>
    <xf numFmtId="0" fontId="18" fillId="0" borderId="11" xfId="0" applyFont="1" applyBorder="1" applyAlignment="1">
      <alignment horizontal="center"/>
    </xf>
    <xf numFmtId="0" fontId="18" fillId="25" borderId="0" xfId="0" applyFont="1" applyFill="1" applyAlignment="1">
      <alignment horizontal="center"/>
    </xf>
    <xf numFmtId="0" fontId="18" fillId="3" borderId="12" xfId="0" applyFont="1" applyFill="1" applyBorder="1" applyAlignment="1">
      <alignment horizontal="center"/>
    </xf>
    <xf numFmtId="0" fontId="18" fillId="0" borderId="14" xfId="0" applyFont="1" applyBorder="1" applyAlignment="1">
      <alignment horizontal="center"/>
    </xf>
    <xf numFmtId="0" fontId="18" fillId="0" borderId="13" xfId="0" applyFont="1" applyBorder="1" applyAlignment="1">
      <alignment horizontal="center"/>
    </xf>
    <xf numFmtId="0" fontId="18" fillId="5" borderId="10" xfId="0" applyFont="1" applyFill="1" applyBorder="1"/>
    <xf numFmtId="0" fontId="18" fillId="5" borderId="12" xfId="0" applyFont="1" applyFill="1" applyBorder="1"/>
    <xf numFmtId="0" fontId="18" fillId="5" borderId="10" xfId="0" applyFont="1" applyFill="1" applyBorder="1" applyAlignment="1">
      <alignment horizontal="center"/>
    </xf>
    <xf numFmtId="1" fontId="18" fillId="0" borderId="11" xfId="0" applyNumberFormat="1" applyFont="1" applyBorder="1" applyAlignment="1">
      <alignment horizontal="center"/>
    </xf>
    <xf numFmtId="0" fontId="18" fillId="5" borderId="12" xfId="0" applyFont="1" applyFill="1" applyBorder="1" applyAlignment="1">
      <alignment horizontal="center"/>
    </xf>
    <xf numFmtId="0" fontId="18" fillId="0" borderId="9" xfId="0" applyFont="1" applyBorder="1" applyAlignment="1">
      <alignment horizontal="center"/>
    </xf>
    <xf numFmtId="164" fontId="18" fillId="0" borderId="11" xfId="0" applyNumberFormat="1" applyFont="1" applyBorder="1" applyAlignment="1">
      <alignment horizontal="center"/>
    </xf>
    <xf numFmtId="164" fontId="18" fillId="0" borderId="14" xfId="0" applyNumberFormat="1" applyFont="1" applyBorder="1" applyAlignment="1">
      <alignment horizontal="center"/>
    </xf>
    <xf numFmtId="0" fontId="19" fillId="2" borderId="18" xfId="0" applyFont="1" applyFill="1" applyBorder="1" applyAlignment="1">
      <alignment horizontal="center"/>
    </xf>
    <xf numFmtId="0" fontId="19" fillId="2" borderId="19" xfId="0" applyFont="1" applyFill="1" applyBorder="1" applyAlignment="1">
      <alignment horizontal="center"/>
    </xf>
    <xf numFmtId="0" fontId="19" fillId="2" borderId="20" xfId="0" applyFont="1" applyFill="1" applyBorder="1" applyAlignment="1">
      <alignment horizontal="center"/>
    </xf>
    <xf numFmtId="0" fontId="18" fillId="0" borderId="19" xfId="0" applyFont="1" applyBorder="1" applyAlignment="1">
      <alignment horizontal="center"/>
    </xf>
    <xf numFmtId="0" fontId="18" fillId="0" borderId="20" xfId="0" applyFont="1" applyBorder="1" applyAlignment="1">
      <alignment horizontal="center"/>
    </xf>
    <xf numFmtId="0" fontId="18" fillId="0" borderId="16" xfId="0" applyFont="1" applyBorder="1" applyAlignment="1">
      <alignment horizontal="center"/>
    </xf>
    <xf numFmtId="0" fontId="18" fillId="0" borderId="17" xfId="0" applyFont="1" applyBorder="1" applyAlignment="1">
      <alignment horizontal="center"/>
    </xf>
    <xf numFmtId="0" fontId="18" fillId="0" borderId="24" xfId="0" applyFont="1" applyBorder="1" applyAlignment="1">
      <alignment horizontal="center"/>
    </xf>
    <xf numFmtId="0" fontId="18" fillId="0" borderId="25" xfId="0" applyFont="1" applyBorder="1" applyAlignment="1">
      <alignment horizontal="center"/>
    </xf>
    <xf numFmtId="0" fontId="18" fillId="0" borderId="9" xfId="0" applyFont="1" applyBorder="1" applyAlignment="1">
      <alignment horizontal="center" wrapText="1"/>
    </xf>
    <xf numFmtId="0" fontId="19" fillId="4" borderId="59" xfId="0" applyFont="1" applyFill="1" applyBorder="1" applyAlignment="1">
      <alignment horizontal="center"/>
    </xf>
    <xf numFmtId="0" fontId="19" fillId="4" borderId="60" xfId="0" applyFont="1" applyFill="1" applyBorder="1" applyAlignment="1">
      <alignment horizontal="center"/>
    </xf>
    <xf numFmtId="0" fontId="19" fillId="4" borderId="61" xfId="0" applyFont="1" applyFill="1" applyBorder="1" applyAlignment="1">
      <alignment horizontal="center"/>
    </xf>
    <xf numFmtId="0" fontId="18" fillId="5" borderId="18" xfId="0" applyFont="1" applyFill="1" applyBorder="1" applyAlignment="1">
      <alignment horizontal="center"/>
    </xf>
    <xf numFmtId="0" fontId="18" fillId="5" borderId="18" xfId="0" applyFont="1" applyFill="1" applyBorder="1"/>
    <xf numFmtId="0" fontId="18" fillId="4" borderId="62" xfId="0" applyFont="1" applyFill="1" applyBorder="1" applyAlignment="1">
      <alignment horizontal="center"/>
    </xf>
    <xf numFmtId="1" fontId="18" fillId="0" borderId="63" xfId="0" applyNumberFormat="1" applyFont="1" applyBorder="1" applyAlignment="1">
      <alignment horizontal="center"/>
    </xf>
    <xf numFmtId="0" fontId="18" fillId="0" borderId="64" xfId="0" applyFont="1" applyBorder="1" applyAlignment="1">
      <alignment horizontal="center"/>
    </xf>
    <xf numFmtId="0" fontId="0" fillId="7" borderId="0" xfId="0" applyFill="1" applyAlignment="1">
      <alignment horizontal="center" vertical="center"/>
    </xf>
    <xf numFmtId="0" fontId="0" fillId="7" borderId="7" xfId="0" applyFill="1" applyBorder="1" applyAlignment="1">
      <alignment horizontal="center" vertical="center"/>
    </xf>
    <xf numFmtId="0" fontId="0" fillId="0" borderId="0" xfId="0" applyAlignment="1">
      <alignment horizontal="center" vertical="center"/>
    </xf>
    <xf numFmtId="0" fontId="0" fillId="0" borderId="45" xfId="0" applyBorder="1" applyAlignment="1">
      <alignment horizontal="center" vertical="center"/>
    </xf>
    <xf numFmtId="0" fontId="0" fillId="20" borderId="22" xfId="0" applyFill="1" applyBorder="1" applyAlignment="1">
      <alignment horizontal="center" vertical="center"/>
    </xf>
    <xf numFmtId="0" fontId="0" fillId="20" borderId="42" xfId="0" applyFill="1" applyBorder="1" applyAlignment="1">
      <alignment horizontal="center" vertical="center"/>
    </xf>
    <xf numFmtId="0" fontId="0" fillId="20" borderId="43" xfId="0" applyFill="1" applyBorder="1" applyAlignment="1">
      <alignment horizontal="center" vertical="center"/>
    </xf>
    <xf numFmtId="0" fontId="0" fillId="20" borderId="44" xfId="0" applyFill="1" applyBorder="1" applyAlignment="1">
      <alignment horizontal="center" vertical="center"/>
    </xf>
    <xf numFmtId="1" fontId="0" fillId="20" borderId="5" xfId="0" applyNumberFormat="1" applyFill="1" applyBorder="1" applyAlignment="1">
      <alignment horizontal="center" vertical="center"/>
    </xf>
    <xf numFmtId="164" fontId="0" fillId="20" borderId="5" xfId="0" applyNumberFormat="1" applyFill="1" applyBorder="1" applyAlignment="1">
      <alignment horizontal="center" vertical="center"/>
    </xf>
    <xf numFmtId="0" fontId="0" fillId="20" borderId="5" xfId="0" applyFill="1" applyBorder="1" applyAlignment="1">
      <alignment horizontal="center" vertical="center"/>
    </xf>
    <xf numFmtId="0" fontId="0" fillId="0" borderId="47" xfId="0" applyBorder="1" applyAlignment="1">
      <alignment horizontal="center" vertical="center"/>
    </xf>
    <xf numFmtId="0" fontId="0" fillId="7" borderId="2" xfId="0" applyFill="1" applyBorder="1" applyAlignment="1">
      <alignment horizontal="center" vertical="center"/>
    </xf>
    <xf numFmtId="0" fontId="0" fillId="0" borderId="0" xfId="0" applyAlignment="1">
      <alignment horizontal="right"/>
    </xf>
    <xf numFmtId="0" fontId="0" fillId="20" borderId="66" xfId="0" applyFill="1" applyBorder="1" applyAlignment="1">
      <alignment horizontal="center" vertical="center"/>
    </xf>
    <xf numFmtId="0" fontId="18" fillId="0" borderId="45" xfId="0" applyFont="1" applyBorder="1" applyAlignment="1">
      <alignment horizontal="center"/>
    </xf>
    <xf numFmtId="0" fontId="18" fillId="0" borderId="46" xfId="0" applyFont="1" applyBorder="1" applyAlignment="1">
      <alignment horizontal="center"/>
    </xf>
    <xf numFmtId="0" fontId="18" fillId="0" borderId="47" xfId="0" applyFont="1" applyBorder="1" applyAlignment="1">
      <alignment horizontal="center"/>
    </xf>
    <xf numFmtId="0" fontId="18" fillId="0" borderId="48" xfId="0" applyFont="1" applyBorder="1" applyAlignment="1">
      <alignment horizontal="center"/>
    </xf>
    <xf numFmtId="0" fontId="0" fillId="32" borderId="22" xfId="0" applyFill="1" applyBorder="1" applyAlignment="1">
      <alignment horizontal="center" vertical="center"/>
    </xf>
    <xf numFmtId="0" fontId="0" fillId="32" borderId="42" xfId="0" applyFill="1" applyBorder="1" applyAlignment="1">
      <alignment horizontal="center" vertical="center"/>
    </xf>
    <xf numFmtId="0" fontId="0" fillId="32" borderId="43" xfId="0" applyFill="1" applyBorder="1" applyAlignment="1">
      <alignment horizontal="center" vertical="center"/>
    </xf>
    <xf numFmtId="0" fontId="18" fillId="0" borderId="21" xfId="0" applyFont="1" applyBorder="1" applyAlignment="1">
      <alignment horizontal="center"/>
    </xf>
    <xf numFmtId="0" fontId="18" fillId="0" borderId="39" xfId="0" applyFont="1" applyBorder="1" applyAlignment="1">
      <alignment horizontal="center"/>
    </xf>
    <xf numFmtId="0" fontId="18" fillId="0" borderId="40" xfId="0" applyFont="1" applyBorder="1" applyAlignment="1">
      <alignment horizontal="center"/>
    </xf>
    <xf numFmtId="0" fontId="18" fillId="0" borderId="41" xfId="0" applyFont="1" applyBorder="1" applyAlignment="1">
      <alignment horizontal="center"/>
    </xf>
    <xf numFmtId="0" fontId="0" fillId="20" borderId="45" xfId="0" applyFill="1" applyBorder="1" applyAlignment="1">
      <alignment horizontal="center" vertical="center"/>
    </xf>
    <xf numFmtId="0" fontId="0" fillId="20" borderId="46" xfId="0" applyFill="1" applyBorder="1" applyAlignment="1">
      <alignment horizontal="center" vertical="center"/>
    </xf>
    <xf numFmtId="0" fontId="0" fillId="20" borderId="47" xfId="0" applyFill="1" applyBorder="1" applyAlignment="1">
      <alignment horizontal="center" vertical="center"/>
    </xf>
    <xf numFmtId="0" fontId="0" fillId="20" borderId="48" xfId="0" applyFill="1" applyBorder="1" applyAlignment="1">
      <alignment horizontal="center" vertical="center"/>
    </xf>
    <xf numFmtId="0" fontId="0" fillId="25" borderId="58" xfId="0" applyFill="1" applyBorder="1" applyAlignment="1">
      <alignment horizontal="center" vertical="center"/>
    </xf>
    <xf numFmtId="1" fontId="18" fillId="0" borderId="57" xfId="0" applyNumberFormat="1" applyFont="1" applyBorder="1" applyAlignment="1">
      <alignment horizontal="center"/>
    </xf>
    <xf numFmtId="0" fontId="18" fillId="3" borderId="15" xfId="0" applyFont="1" applyFill="1" applyBorder="1" applyAlignment="1">
      <alignment horizontal="center"/>
    </xf>
    <xf numFmtId="0" fontId="19" fillId="6" borderId="62" xfId="0" applyFont="1" applyFill="1" applyBorder="1" applyAlignment="1">
      <alignment horizontal="center"/>
    </xf>
    <xf numFmtId="165" fontId="18" fillId="0" borderId="17" xfId="0" applyNumberFormat="1" applyFont="1" applyBorder="1" applyAlignment="1">
      <alignment horizontal="center"/>
    </xf>
    <xf numFmtId="165" fontId="18" fillId="0" borderId="14" xfId="0" applyNumberFormat="1" applyFont="1" applyBorder="1" applyAlignment="1">
      <alignment horizontal="center"/>
    </xf>
    <xf numFmtId="0" fontId="19" fillId="6" borderId="64" xfId="0" applyFont="1" applyFill="1" applyBorder="1" applyAlignment="1">
      <alignment horizontal="center"/>
    </xf>
    <xf numFmtId="0" fontId="23" fillId="8" borderId="9" xfId="1" applyFont="1" applyBorder="1" applyAlignment="1">
      <alignment horizontal="center"/>
    </xf>
    <xf numFmtId="0" fontId="23" fillId="8" borderId="13" xfId="1" applyFont="1" applyBorder="1" applyAlignment="1">
      <alignment horizontal="center"/>
    </xf>
    <xf numFmtId="0" fontId="23" fillId="8" borderId="20" xfId="1" applyFont="1" applyBorder="1" applyAlignment="1">
      <alignment horizontal="center"/>
    </xf>
    <xf numFmtId="0" fontId="23" fillId="8" borderId="11" xfId="1" applyFont="1" applyBorder="1" applyAlignment="1">
      <alignment horizontal="center"/>
    </xf>
    <xf numFmtId="0" fontId="23" fillId="8" borderId="14" xfId="1" applyFont="1" applyBorder="1" applyAlignment="1">
      <alignment horizontal="center"/>
    </xf>
    <xf numFmtId="0" fontId="24" fillId="4" borderId="18" xfId="0" applyFont="1" applyFill="1" applyBorder="1" applyAlignment="1">
      <alignment horizontal="center"/>
    </xf>
    <xf numFmtId="0" fontId="24" fillId="4" borderId="10" xfId="0" applyFont="1" applyFill="1" applyBorder="1" applyAlignment="1">
      <alignment horizontal="center"/>
    </xf>
    <xf numFmtId="0" fontId="24" fillId="4" borderId="12" xfId="0" applyFont="1" applyFill="1" applyBorder="1" applyAlignment="1">
      <alignment horizontal="center"/>
    </xf>
    <xf numFmtId="164" fontId="23" fillId="8" borderId="14" xfId="1" applyNumberFormat="1" applyFont="1" applyBorder="1" applyAlignment="1">
      <alignment horizontal="center"/>
    </xf>
    <xf numFmtId="1" fontId="18" fillId="0" borderId="19" xfId="0" applyNumberFormat="1" applyFont="1" applyBorder="1" applyAlignment="1">
      <alignment horizontal="center"/>
    </xf>
    <xf numFmtId="0" fontId="0" fillId="25" borderId="46" xfId="0" applyFill="1" applyBorder="1" applyAlignment="1">
      <alignment horizontal="center" vertical="center"/>
    </xf>
    <xf numFmtId="0" fontId="0" fillId="25" borderId="47" xfId="0" applyFill="1" applyBorder="1" applyAlignment="1">
      <alignment horizontal="center" vertical="center"/>
    </xf>
    <xf numFmtId="0" fontId="18" fillId="5" borderId="15" xfId="0" applyFont="1" applyFill="1" applyBorder="1" applyAlignment="1">
      <alignment horizontal="center"/>
    </xf>
    <xf numFmtId="1" fontId="24" fillId="0" borderId="11" xfId="0" applyNumberFormat="1" applyFont="1" applyBorder="1" applyAlignment="1">
      <alignment horizontal="center"/>
    </xf>
    <xf numFmtId="0" fontId="18" fillId="25" borderId="56" xfId="0" applyFont="1" applyFill="1" applyBorder="1" applyAlignment="1">
      <alignment horizontal="center" vertical="center"/>
    </xf>
    <xf numFmtId="167" fontId="23" fillId="8" borderId="20" xfId="1" applyNumberFormat="1" applyFont="1" applyBorder="1" applyAlignment="1">
      <alignment horizontal="center"/>
    </xf>
    <xf numFmtId="168" fontId="18" fillId="0" borderId="19" xfId="0" applyNumberFormat="1" applyFont="1" applyBorder="1" applyAlignment="1">
      <alignment horizontal="center"/>
    </xf>
    <xf numFmtId="168" fontId="18" fillId="0" borderId="16" xfId="0" applyNumberFormat="1" applyFont="1" applyBorder="1" applyAlignment="1">
      <alignment horizontal="center"/>
    </xf>
    <xf numFmtId="167" fontId="23" fillId="8" borderId="11" xfId="1" applyNumberFormat="1" applyFont="1" applyBorder="1" applyAlignment="1">
      <alignment horizontal="center"/>
    </xf>
    <xf numFmtId="0" fontId="2" fillId="25" borderId="0" xfId="0" applyFont="1" applyFill="1" applyAlignment="1">
      <alignment horizontal="center" vertical="center"/>
    </xf>
    <xf numFmtId="0" fontId="19" fillId="4" borderId="1" xfId="0" applyFont="1" applyFill="1" applyBorder="1" applyAlignment="1">
      <alignment horizontal="center"/>
    </xf>
    <xf numFmtId="0" fontId="19" fillId="4" borderId="3" xfId="0" applyFont="1" applyFill="1" applyBorder="1" applyAlignment="1">
      <alignment horizontal="center"/>
    </xf>
    <xf numFmtId="0" fontId="19" fillId="2" borderId="18" xfId="0" applyFont="1" applyFill="1" applyBorder="1" applyAlignment="1">
      <alignment horizontal="center"/>
    </xf>
    <xf numFmtId="0" fontId="19" fillId="2" borderId="19" xfId="0" applyFont="1" applyFill="1" applyBorder="1" applyAlignment="1">
      <alignment horizontal="center"/>
    </xf>
    <xf numFmtId="0" fontId="19" fillId="2" borderId="20" xfId="0" applyFont="1" applyFill="1" applyBorder="1" applyAlignment="1">
      <alignment horizontal="center"/>
    </xf>
    <xf numFmtId="0" fontId="19" fillId="0" borderId="10" xfId="0" applyFont="1" applyBorder="1" applyAlignment="1">
      <alignment horizontal="center"/>
    </xf>
    <xf numFmtId="0" fontId="19" fillId="0" borderId="9" xfId="0" applyFont="1" applyBorder="1" applyAlignment="1">
      <alignment horizontal="center"/>
    </xf>
    <xf numFmtId="0" fontId="19" fillId="0" borderId="1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8" fillId="0" borderId="23" xfId="0" applyFont="1" applyBorder="1" applyAlignment="1">
      <alignment horizontal="center"/>
    </xf>
    <xf numFmtId="0" fontId="18" fillId="0" borderId="24" xfId="0" applyFont="1" applyBorder="1" applyAlignment="1">
      <alignment horizontal="center"/>
    </xf>
    <xf numFmtId="0" fontId="18" fillId="0" borderId="25" xfId="0" applyFont="1" applyBorder="1" applyAlignment="1">
      <alignment horizontal="center"/>
    </xf>
    <xf numFmtId="0" fontId="1" fillId="25" borderId="0" xfId="0" applyFont="1" applyFill="1" applyAlignment="1">
      <alignment horizontal="center"/>
    </xf>
    <xf numFmtId="0" fontId="19" fillId="3" borderId="15" xfId="0" applyFont="1" applyFill="1" applyBorder="1" applyAlignment="1">
      <alignment horizontal="center" vertical="center"/>
    </xf>
    <xf numFmtId="0" fontId="19" fillId="3" borderId="10"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18" xfId="0" applyFont="1" applyFill="1" applyBorder="1" applyAlignment="1">
      <alignment horizontal="center" vertical="center"/>
    </xf>
    <xf numFmtId="0" fontId="19" fillId="3" borderId="55" xfId="0" applyFont="1" applyFill="1" applyBorder="1" applyAlignment="1">
      <alignment horizontal="center" vertical="center"/>
    </xf>
    <xf numFmtId="0" fontId="19" fillId="3" borderId="23" xfId="0" applyFont="1" applyFill="1" applyBorder="1" applyAlignment="1">
      <alignment horizontal="center" vertical="center"/>
    </xf>
    <xf numFmtId="0" fontId="24" fillId="8" borderId="67" xfId="1" applyFont="1" applyBorder="1" applyAlignment="1">
      <alignment horizontal="center"/>
    </xf>
    <xf numFmtId="0" fontId="24" fillId="8" borderId="68" xfId="1" applyFont="1" applyBorder="1" applyAlignment="1">
      <alignment horizontal="center"/>
    </xf>
    <xf numFmtId="0" fontId="24" fillId="8" borderId="69" xfId="1" applyFont="1" applyBorder="1" applyAlignment="1">
      <alignment horizontal="center"/>
    </xf>
    <xf numFmtId="0" fontId="22" fillId="6" borderId="1" xfId="0" applyFont="1" applyFill="1" applyBorder="1" applyAlignment="1">
      <alignment horizontal="center" vertical="center"/>
    </xf>
    <xf numFmtId="0" fontId="22" fillId="6" borderId="3" xfId="0" applyFont="1" applyFill="1" applyBorder="1" applyAlignment="1">
      <alignment horizontal="center" vertical="center"/>
    </xf>
    <xf numFmtId="0" fontId="22" fillId="6" borderId="6" xfId="0" applyFont="1" applyFill="1" applyBorder="1" applyAlignment="1">
      <alignment horizontal="center" vertical="center"/>
    </xf>
    <xf numFmtId="0" fontId="22" fillId="6" borderId="8" xfId="0" applyFont="1" applyFill="1" applyBorder="1" applyAlignment="1">
      <alignment horizontal="center" vertical="center"/>
    </xf>
    <xf numFmtId="0" fontId="19" fillId="6" borderId="63" xfId="0" applyFont="1" applyFill="1" applyBorder="1" applyAlignment="1">
      <alignment horizontal="center"/>
    </xf>
    <xf numFmtId="0" fontId="19" fillId="6" borderId="64" xfId="0" applyFont="1" applyFill="1" applyBorder="1" applyAlignment="1">
      <alignment horizontal="center"/>
    </xf>
    <xf numFmtId="165" fontId="18" fillId="0" borderId="16" xfId="0" applyNumberFormat="1" applyFont="1" applyBorder="1" applyAlignment="1">
      <alignment horizontal="center"/>
    </xf>
    <xf numFmtId="165" fontId="18" fillId="0" borderId="17" xfId="0" applyNumberFormat="1" applyFont="1" applyBorder="1" applyAlignment="1">
      <alignment horizontal="center"/>
    </xf>
    <xf numFmtId="165" fontId="18" fillId="0" borderId="13" xfId="0" applyNumberFormat="1" applyFont="1" applyBorder="1" applyAlignment="1">
      <alignment horizontal="center"/>
    </xf>
    <xf numFmtId="165" fontId="18" fillId="0" borderId="14" xfId="0" applyNumberFormat="1" applyFont="1" applyBorder="1" applyAlignment="1">
      <alignment horizontal="center"/>
    </xf>
    <xf numFmtId="0" fontId="19" fillId="26" borderId="1" xfId="0" applyFont="1" applyFill="1" applyBorder="1" applyAlignment="1">
      <alignment horizontal="center" vertical="center"/>
    </xf>
    <xf numFmtId="0" fontId="7" fillId="4" borderId="2" xfId="0" applyFont="1" applyFill="1" applyBorder="1"/>
    <xf numFmtId="0" fontId="7" fillId="4" borderId="3" xfId="0" applyFont="1" applyFill="1" applyBorder="1"/>
    <xf numFmtId="0" fontId="19" fillId="30" borderId="1" xfId="0" applyFont="1" applyFill="1" applyBorder="1" applyAlignment="1">
      <alignment horizontal="center" vertical="center"/>
    </xf>
    <xf numFmtId="0" fontId="7" fillId="29" borderId="2" xfId="0" applyFont="1" applyFill="1" applyBorder="1"/>
    <xf numFmtId="0" fontId="7" fillId="29" borderId="3" xfId="0" applyFont="1" applyFill="1" applyBorder="1"/>
    <xf numFmtId="0" fontId="1" fillId="5" borderId="18"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12" xfId="0" applyFont="1" applyFill="1" applyBorder="1" applyAlignment="1">
      <alignment horizontal="center" vertical="center"/>
    </xf>
    <xf numFmtId="0" fontId="1" fillId="28" borderId="18" xfId="0" applyFont="1" applyFill="1" applyBorder="1" applyAlignment="1">
      <alignment horizontal="center" vertical="center"/>
    </xf>
    <xf numFmtId="0" fontId="1" fillId="28" borderId="10" xfId="0" applyFont="1" applyFill="1" applyBorder="1" applyAlignment="1">
      <alignment horizontal="center" vertical="center"/>
    </xf>
    <xf numFmtId="0" fontId="1" fillId="28" borderId="12" xfId="0" applyFont="1" applyFill="1" applyBorder="1" applyAlignment="1">
      <alignment horizontal="center" vertical="center"/>
    </xf>
    <xf numFmtId="0" fontId="1" fillId="5" borderId="15" xfId="0" applyFont="1" applyFill="1" applyBorder="1" applyAlignment="1">
      <alignment horizontal="center" vertical="center"/>
    </xf>
    <xf numFmtId="0" fontId="1" fillId="28" borderId="15" xfId="0" applyFont="1" applyFill="1" applyBorder="1" applyAlignment="1">
      <alignment horizontal="center" vertical="center"/>
    </xf>
    <xf numFmtId="0" fontId="1" fillId="5" borderId="55" xfId="0" applyFont="1" applyFill="1" applyBorder="1" applyAlignment="1">
      <alignment horizontal="center" vertical="center"/>
    </xf>
    <xf numFmtId="0" fontId="1" fillId="5" borderId="23" xfId="0" applyFont="1" applyFill="1" applyBorder="1" applyAlignment="1">
      <alignment horizontal="center" vertical="center"/>
    </xf>
    <xf numFmtId="0" fontId="1" fillId="28" borderId="55" xfId="0" applyFont="1" applyFill="1" applyBorder="1" applyAlignment="1">
      <alignment horizontal="center" vertical="center"/>
    </xf>
    <xf numFmtId="0" fontId="1" fillId="28" borderId="23" xfId="0" applyFont="1" applyFill="1" applyBorder="1" applyAlignment="1">
      <alignment horizontal="center" vertical="center"/>
    </xf>
    <xf numFmtId="0" fontId="1" fillId="4" borderId="18" xfId="0" applyFont="1" applyFill="1" applyBorder="1" applyAlignment="1">
      <alignment horizontal="center" vertical="center"/>
    </xf>
    <xf numFmtId="0" fontId="1" fillId="4" borderId="10" xfId="0" applyFont="1" applyFill="1" applyBorder="1" applyAlignment="1">
      <alignment horizontal="center" vertical="center"/>
    </xf>
    <xf numFmtId="0" fontId="1" fillId="4" borderId="12"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55" xfId="0" applyFont="1" applyFill="1" applyBorder="1" applyAlignment="1">
      <alignment horizontal="center" vertical="center"/>
    </xf>
    <xf numFmtId="0" fontId="1" fillId="4" borderId="23" xfId="0" applyFont="1" applyFill="1" applyBorder="1" applyAlignment="1">
      <alignment horizontal="center" vertical="center"/>
    </xf>
    <xf numFmtId="0" fontId="14" fillId="31" borderId="1" xfId="0" applyFont="1" applyFill="1" applyBorder="1" applyAlignment="1">
      <alignment horizontal="center" vertical="center"/>
    </xf>
    <xf numFmtId="0" fontId="7" fillId="27" borderId="2" xfId="0" applyFont="1" applyFill="1" applyBorder="1"/>
    <xf numFmtId="0" fontId="7" fillId="27" borderId="3" xfId="0" applyFont="1" applyFill="1" applyBorder="1"/>
    <xf numFmtId="0" fontId="19" fillId="26" borderId="36" xfId="0" applyFont="1" applyFill="1" applyBorder="1" applyAlignment="1">
      <alignment horizontal="center" vertical="center"/>
    </xf>
    <xf numFmtId="0" fontId="7" fillId="4" borderId="37" xfId="0" applyFont="1" applyFill="1" applyBorder="1"/>
    <xf numFmtId="0" fontId="7" fillId="4" borderId="38" xfId="0" applyFont="1" applyFill="1" applyBorder="1"/>
    <xf numFmtId="0" fontId="19" fillId="30" borderId="36" xfId="0" applyFont="1" applyFill="1" applyBorder="1" applyAlignment="1">
      <alignment horizontal="center" vertical="center"/>
    </xf>
    <xf numFmtId="0" fontId="7" fillId="29" borderId="37" xfId="0" applyFont="1" applyFill="1" applyBorder="1"/>
    <xf numFmtId="0" fontId="7" fillId="29" borderId="38" xfId="0" applyFont="1" applyFill="1" applyBorder="1"/>
    <xf numFmtId="0" fontId="4" fillId="0" borderId="49" xfId="0" applyFont="1" applyBorder="1" applyAlignment="1">
      <alignment horizontal="center" vertical="center" wrapText="1"/>
    </xf>
    <xf numFmtId="0" fontId="7" fillId="0" borderId="50" xfId="0" applyFont="1" applyBorder="1"/>
    <xf numFmtId="0" fontId="7" fillId="0" borderId="51" xfId="0" applyFont="1" applyBorder="1"/>
    <xf numFmtId="0" fontId="7" fillId="0" borderId="52" xfId="0" applyFont="1" applyBorder="1"/>
    <xf numFmtId="0" fontId="0" fillId="0" borderId="0" xfId="0"/>
    <xf numFmtId="0" fontId="7" fillId="0" borderId="53" xfId="0" applyFont="1" applyBorder="1"/>
    <xf numFmtId="0" fontId="7" fillId="0" borderId="32" xfId="0" applyFont="1" applyBorder="1"/>
    <xf numFmtId="0" fontId="7" fillId="0" borderId="35" xfId="0" applyFont="1" applyBorder="1"/>
    <xf numFmtId="0" fontId="7" fillId="0" borderId="33" xfId="0" applyFont="1" applyBorder="1"/>
    <xf numFmtId="166" fontId="9" fillId="0" borderId="35" xfId="0" applyNumberFormat="1" applyFont="1" applyBorder="1" applyAlignment="1">
      <alignment horizontal="center"/>
    </xf>
    <xf numFmtId="0" fontId="14" fillId="18" borderId="54" xfId="0" applyFont="1" applyFill="1" applyBorder="1"/>
    <xf numFmtId="0" fontId="7" fillId="0" borderId="31" xfId="0" applyFont="1" applyBorder="1"/>
    <xf numFmtId="0" fontId="14" fillId="19" borderId="54" xfId="0" applyFont="1" applyFill="1" applyBorder="1"/>
    <xf numFmtId="0" fontId="11" fillId="18" borderId="28" xfId="0" applyFont="1" applyFill="1" applyBorder="1" applyAlignment="1">
      <alignment horizontal="center"/>
    </xf>
    <xf numFmtId="0" fontId="7" fillId="0" borderId="29" xfId="0" applyFont="1" applyBorder="1"/>
    <xf numFmtId="0" fontId="7" fillId="0" borderId="30" xfId="0" applyFont="1" applyBorder="1"/>
    <xf numFmtId="0" fontId="11" fillId="19" borderId="28" xfId="0" applyFont="1" applyFill="1" applyBorder="1" applyAlignment="1">
      <alignment horizontal="center"/>
    </xf>
    <xf numFmtId="0" fontId="6" fillId="18" borderId="28" xfId="0" applyFont="1" applyFill="1" applyBorder="1" applyAlignment="1">
      <alignment horizontal="center" vertical="center"/>
    </xf>
    <xf numFmtId="0" fontId="6" fillId="19" borderId="28" xfId="0" applyFont="1" applyFill="1" applyBorder="1" applyAlignment="1">
      <alignment horizontal="center" vertical="center"/>
    </xf>
    <xf numFmtId="0" fontId="8" fillId="0" borderId="32" xfId="0" applyFont="1" applyBorder="1" applyAlignment="1">
      <alignment horizontal="center"/>
    </xf>
    <xf numFmtId="0" fontId="1" fillId="21" borderId="36" xfId="0" applyFont="1" applyFill="1" applyBorder="1" applyAlignment="1">
      <alignment horizontal="center" vertical="center"/>
    </xf>
    <xf numFmtId="0" fontId="1" fillId="21" borderId="37" xfId="0" applyFont="1" applyFill="1" applyBorder="1" applyAlignment="1">
      <alignment horizontal="center" vertical="center"/>
    </xf>
    <xf numFmtId="0" fontId="1" fillId="21" borderId="38" xfId="0" applyFont="1" applyFill="1" applyBorder="1" applyAlignment="1">
      <alignment horizontal="center" vertical="center"/>
    </xf>
    <xf numFmtId="0" fontId="0" fillId="22" borderId="1" xfId="0" applyFill="1" applyBorder="1" applyAlignment="1">
      <alignment horizontal="center" vertical="center"/>
    </xf>
    <xf numFmtId="0" fontId="0" fillId="22" borderId="2" xfId="0" applyFill="1" applyBorder="1" applyAlignment="1">
      <alignment horizontal="center" vertical="center"/>
    </xf>
    <xf numFmtId="0" fontId="0" fillId="22" borderId="3" xfId="0" applyFill="1" applyBorder="1" applyAlignment="1">
      <alignment horizontal="center" vertical="center"/>
    </xf>
    <xf numFmtId="0" fontId="0" fillId="21" borderId="21" xfId="0" applyFill="1" applyBorder="1" applyAlignment="1">
      <alignment horizontal="center" vertical="center"/>
    </xf>
    <xf numFmtId="0" fontId="0" fillId="21" borderId="39" xfId="0" applyFill="1" applyBorder="1" applyAlignment="1">
      <alignment horizontal="center" vertical="center"/>
    </xf>
    <xf numFmtId="0" fontId="0" fillId="21" borderId="40" xfId="0" applyFill="1" applyBorder="1" applyAlignment="1">
      <alignment horizontal="center" vertical="center"/>
    </xf>
    <xf numFmtId="0" fontId="0" fillId="21" borderId="41" xfId="0" applyFill="1" applyBorder="1" applyAlignment="1">
      <alignment horizontal="center" vertical="center"/>
    </xf>
    <xf numFmtId="0" fontId="0" fillId="21" borderId="4" xfId="0" applyFill="1" applyBorder="1" applyAlignment="1">
      <alignment horizontal="center" vertical="center"/>
    </xf>
    <xf numFmtId="0" fontId="0" fillId="21" borderId="65" xfId="0" applyFill="1" applyBorder="1" applyAlignment="1">
      <alignment horizontal="center" vertical="center"/>
    </xf>
    <xf numFmtId="0" fontId="0" fillId="21" borderId="1" xfId="0" applyFill="1" applyBorder="1" applyAlignment="1">
      <alignment horizontal="center" vertical="center"/>
    </xf>
    <xf numFmtId="0" fontId="0" fillId="21" borderId="6" xfId="0" applyFill="1" applyBorder="1" applyAlignment="1">
      <alignment horizontal="center" vertical="center"/>
    </xf>
    <xf numFmtId="0" fontId="12" fillId="0" borderId="0" xfId="0" applyFont="1"/>
    <xf numFmtId="0" fontId="13" fillId="0" borderId="0" xfId="0" applyFont="1"/>
    <xf numFmtId="0" fontId="6" fillId="15" borderId="28" xfId="0" applyFont="1" applyFill="1" applyBorder="1" applyAlignment="1">
      <alignment horizontal="center" vertical="center"/>
    </xf>
    <xf numFmtId="0" fontId="6" fillId="16" borderId="28" xfId="0" applyFont="1" applyFill="1" applyBorder="1" applyAlignment="1">
      <alignment horizontal="center" vertical="center"/>
    </xf>
    <xf numFmtId="0" fontId="6" fillId="13" borderId="28" xfId="0" applyFont="1" applyFill="1" applyBorder="1" applyAlignment="1">
      <alignment horizontal="center" vertical="center"/>
    </xf>
    <xf numFmtId="0" fontId="6" fillId="14" borderId="28" xfId="0" applyFont="1" applyFill="1" applyBorder="1" applyAlignment="1">
      <alignment horizontal="center" vertical="center"/>
    </xf>
    <xf numFmtId="0" fontId="6" fillId="0" borderId="32" xfId="0" applyFont="1" applyBorder="1" applyAlignment="1">
      <alignment horizontal="center"/>
    </xf>
    <xf numFmtId="0" fontId="6" fillId="12" borderId="28" xfId="0" applyFont="1" applyFill="1" applyBorder="1" applyAlignment="1">
      <alignment horizontal="center" vertical="center"/>
    </xf>
    <xf numFmtId="0" fontId="4" fillId="0" borderId="0" xfId="0" applyFont="1" applyAlignment="1">
      <alignment horizontal="right" vertical="center"/>
    </xf>
    <xf numFmtId="0" fontId="6" fillId="10" borderId="28" xfId="0" applyFont="1" applyFill="1" applyBorder="1" applyAlignment="1">
      <alignment horizontal="center" vertical="center"/>
    </xf>
    <xf numFmtId="0" fontId="6" fillId="11" borderId="28" xfId="0" applyFont="1" applyFill="1" applyBorder="1" applyAlignment="1">
      <alignment horizontal="center" vertical="center"/>
    </xf>
    <xf numFmtId="20" fontId="10" fillId="0" borderId="28" xfId="0" applyNumberFormat="1" applyFont="1" applyBorder="1" applyAlignment="1">
      <alignment horizontal="center"/>
    </xf>
    <xf numFmtId="166" fontId="10" fillId="0" borderId="28" xfId="0" applyNumberFormat="1" applyFont="1" applyBorder="1" applyAlignment="1">
      <alignment horizontal="center"/>
    </xf>
    <xf numFmtId="2" fontId="9" fillId="17" borderId="28" xfId="0" applyNumberFormat="1" applyFont="1" applyFill="1" applyBorder="1" applyAlignment="1">
      <alignment horizontal="center" vertical="center"/>
    </xf>
    <xf numFmtId="4" fontId="9" fillId="0" borderId="28" xfId="0" applyNumberFormat="1" applyFont="1" applyBorder="1" applyAlignment="1">
      <alignment horizontal="center"/>
    </xf>
    <xf numFmtId="2" fontId="9" fillId="0" borderId="28" xfId="0" applyNumberFormat="1" applyFont="1" applyBorder="1" applyAlignment="1">
      <alignment horizontal="center" vertical="center"/>
    </xf>
    <xf numFmtId="0" fontId="11" fillId="19" borderId="28" xfId="0" applyFont="1" applyFill="1" applyBorder="1" applyAlignment="1">
      <alignment horizontal="center" vertical="center"/>
    </xf>
    <xf numFmtId="0" fontId="11" fillId="18" borderId="28" xfId="0" applyFont="1" applyFill="1" applyBorder="1" applyAlignment="1">
      <alignment horizontal="center" vertical="center"/>
    </xf>
  </cellXfs>
  <cellStyles count="2">
    <cellStyle name="Input" xfId="1" builtinId="20"/>
    <cellStyle name="Normal"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228600</xdr:colOff>
      <xdr:row>3</xdr:row>
      <xdr:rowOff>38100</xdr:rowOff>
    </xdr:from>
    <xdr:to>
      <xdr:col>6</xdr:col>
      <xdr:colOff>666750</xdr:colOff>
      <xdr:row>13</xdr:row>
      <xdr:rowOff>11428</xdr:rowOff>
    </xdr:to>
    <xdr:sp macro="" textlink="">
      <xdr:nvSpPr>
        <xdr:cNvPr id="2" name="TextBox 1">
          <a:extLst>
            <a:ext uri="{FF2B5EF4-FFF2-40B4-BE49-F238E27FC236}">
              <a16:creationId xmlns:a16="http://schemas.microsoft.com/office/drawing/2014/main" id="{B78F6858-31FF-47ED-8161-4D5F702DD490}"/>
            </a:ext>
          </a:extLst>
        </xdr:cNvPr>
        <xdr:cNvSpPr txBox="1"/>
      </xdr:nvSpPr>
      <xdr:spPr>
        <a:xfrm>
          <a:off x="838200" y="619125"/>
          <a:ext cx="4124325" cy="1916428"/>
        </a:xfrm>
        <a:prstGeom prst="rect">
          <a:avLst/>
        </a:prstGeom>
        <a:ln w="38100">
          <a:solidFill>
            <a:srgbClr val="501000"/>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en-US" sz="800" b="1">
            <a:solidFill>
              <a:srgbClr val="501000"/>
            </a:solidFill>
            <a:latin typeface="Arial" panose="020B0604020202020204" pitchFamily="34" charset="0"/>
            <a:cs typeface="Arial" panose="020B0604020202020204" pitchFamily="34" charset="0"/>
          </a:endParaRPr>
        </a:p>
        <a:p>
          <a:pPr algn="ctr"/>
          <a:r>
            <a:rPr lang="en-US" sz="2400" b="1">
              <a:solidFill>
                <a:srgbClr val="501000"/>
              </a:solidFill>
              <a:latin typeface="Arial" panose="020B0604020202020204" pitchFamily="34" charset="0"/>
              <a:cs typeface="Arial" panose="020B0604020202020204" pitchFamily="34" charset="0"/>
            </a:rPr>
            <a:t>TECHNICAL</a:t>
          </a:r>
          <a:r>
            <a:rPr lang="en-US" sz="2400" b="1" baseline="0">
              <a:solidFill>
                <a:srgbClr val="501000"/>
              </a:solidFill>
              <a:latin typeface="Arial" panose="020B0604020202020204" pitchFamily="34" charset="0"/>
              <a:cs typeface="Arial" panose="020B0604020202020204" pitchFamily="34" charset="0"/>
            </a:rPr>
            <a:t> FLEX LOAD CALCULATOR</a:t>
          </a:r>
        </a:p>
        <a:p>
          <a:pPr algn="ctr"/>
          <a:r>
            <a:rPr lang="en-US" sz="2000" b="1" baseline="0">
              <a:solidFill>
                <a:srgbClr val="590000"/>
              </a:solidFill>
              <a:latin typeface="Arial" panose="020B0604020202020204" pitchFamily="34" charset="0"/>
              <a:cs typeface="Arial" panose="020B0604020202020204" pitchFamily="34" charset="0"/>
            </a:rPr>
            <a:t>Reserve</a:t>
          </a:r>
        </a:p>
        <a:p>
          <a:pPr algn="ctr"/>
          <a:r>
            <a:rPr lang="en-US" sz="1800" b="1" baseline="0">
              <a:solidFill>
                <a:srgbClr val="A20000"/>
              </a:solidFill>
              <a:latin typeface="Arial" panose="020B0604020202020204" pitchFamily="34" charset="0"/>
              <a:cs typeface="Arial" panose="020B0604020202020204" pitchFamily="34" charset="0"/>
            </a:rPr>
            <a:t>V1.0</a:t>
          </a:r>
        </a:p>
        <a:p>
          <a:pPr algn="ctr"/>
          <a:r>
            <a:rPr lang="en-US" sz="1600" b="1" baseline="0">
              <a:solidFill>
                <a:srgbClr val="A20000"/>
              </a:solidFill>
              <a:latin typeface="Arial" panose="020B0604020202020204" pitchFamily="34" charset="0"/>
              <a:cs typeface="Arial" panose="020B0604020202020204" pitchFamily="34" charset="0"/>
            </a:rPr>
            <a:t>8/28/2026</a:t>
          </a:r>
        </a:p>
        <a:p>
          <a:pPr algn="ctr"/>
          <a:r>
            <a:rPr lang="en-US" sz="1000" b="1" baseline="0">
              <a:solidFill>
                <a:srgbClr val="C00000"/>
              </a:solidFill>
              <a:latin typeface="Arial" panose="020B0604020202020204" pitchFamily="34" charset="0"/>
              <a:cs typeface="Arial" panose="020B0604020202020204" pitchFamily="34" charset="0"/>
            </a:rPr>
            <a:t>Othman Murad</a:t>
          </a:r>
        </a:p>
      </xdr:txBody>
    </xdr:sp>
    <xdr:clientData/>
  </xdr:twoCellAnchor>
  <xdr:twoCellAnchor>
    <xdr:from>
      <xdr:col>7</xdr:col>
      <xdr:colOff>171450</xdr:colOff>
      <xdr:row>3</xdr:row>
      <xdr:rowOff>47625</xdr:rowOff>
    </xdr:from>
    <xdr:to>
      <xdr:col>15</xdr:col>
      <xdr:colOff>171450</xdr:colOff>
      <xdr:row>22</xdr:row>
      <xdr:rowOff>152400</xdr:rowOff>
    </xdr:to>
    <xdr:sp macro="" textlink="">
      <xdr:nvSpPr>
        <xdr:cNvPr id="3" name="Rectangle 2">
          <a:extLst>
            <a:ext uri="{FF2B5EF4-FFF2-40B4-BE49-F238E27FC236}">
              <a16:creationId xmlns:a16="http://schemas.microsoft.com/office/drawing/2014/main" id="{8B8E3E27-F558-40E9-BDF6-2273C35F1F40}"/>
            </a:ext>
          </a:extLst>
        </xdr:cNvPr>
        <xdr:cNvSpPr/>
      </xdr:nvSpPr>
      <xdr:spPr>
        <a:xfrm>
          <a:off x="5391150" y="628650"/>
          <a:ext cx="9467850" cy="3781425"/>
        </a:xfrm>
        <a:prstGeom prst="rect">
          <a:avLst/>
        </a:prstGeom>
        <a:noFill/>
        <a:ln w="28575" cap="flat" cmpd="sng" algn="ctr">
          <a:solidFill>
            <a:schemeClr val="tx2">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endParaRPr lang="en-US" sz="1100"/>
        </a:p>
      </xdr:txBody>
    </xdr:sp>
    <xdr:clientData/>
  </xdr:twoCellAnchor>
  <xdr:twoCellAnchor>
    <xdr:from>
      <xdr:col>1</xdr:col>
      <xdr:colOff>76200</xdr:colOff>
      <xdr:row>27</xdr:row>
      <xdr:rowOff>19049</xdr:rowOff>
    </xdr:from>
    <xdr:to>
      <xdr:col>15</xdr:col>
      <xdr:colOff>190500</xdr:colOff>
      <xdr:row>41</xdr:row>
      <xdr:rowOff>85724</xdr:rowOff>
    </xdr:to>
    <xdr:sp macro="" textlink="">
      <xdr:nvSpPr>
        <xdr:cNvPr id="6" name="Rectangle 5">
          <a:extLst>
            <a:ext uri="{FF2B5EF4-FFF2-40B4-BE49-F238E27FC236}">
              <a16:creationId xmlns:a16="http://schemas.microsoft.com/office/drawing/2014/main" id="{3B2E4507-8B9E-43C3-8D2E-DF02F84E87FF}"/>
            </a:ext>
          </a:extLst>
        </xdr:cNvPr>
        <xdr:cNvSpPr/>
      </xdr:nvSpPr>
      <xdr:spPr>
        <a:xfrm>
          <a:off x="685800" y="5248274"/>
          <a:ext cx="14497050" cy="2638425"/>
        </a:xfrm>
        <a:prstGeom prst="rect">
          <a:avLst/>
        </a:prstGeom>
        <a:noFill/>
        <a:ln w="28575" cap="flat" cmpd="sng" algn="ctr">
          <a:solidFill>
            <a:schemeClr val="tx2">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xdr:col>
          <xdr:colOff>304800</xdr:colOff>
          <xdr:row>27</xdr:row>
          <xdr:rowOff>161925</xdr:rowOff>
        </xdr:from>
        <xdr:to>
          <xdr:col>10</xdr:col>
          <xdr:colOff>495300</xdr:colOff>
          <xdr:row>32</xdr:row>
          <xdr:rowOff>180975</xdr:rowOff>
        </xdr:to>
        <xdr:sp macro="" textlink="">
          <xdr:nvSpPr>
            <xdr:cNvPr id="1051" name="OCHRE Button" hidden="1">
              <a:extLst>
                <a:ext uri="{63B3BB69-23CF-44E3-9099-C40C66FF867C}">
                  <a14:compatExt spid="_x0000_s1051"/>
                </a:ext>
                <a:ext uri="{FF2B5EF4-FFF2-40B4-BE49-F238E27FC236}">
                  <a16:creationId xmlns:a16="http://schemas.microsoft.com/office/drawing/2014/main" id="{00000000-0008-0000-0200-00001B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6600"/>
                  </a:solidFill>
                  <a:latin typeface="Arial"/>
                  <a:cs typeface="Arial"/>
                </a:rPr>
                <a:t>Run OCHRE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17</xdr:row>
          <xdr:rowOff>171450</xdr:rowOff>
        </xdr:from>
        <xdr:to>
          <xdr:col>10</xdr:col>
          <xdr:colOff>438150</xdr:colOff>
          <xdr:row>21</xdr:row>
          <xdr:rowOff>190500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200-00001C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400" b="1" i="0" u="none" strike="noStrike" baseline="0">
                  <a:solidFill>
                    <a:srgbClr val="FF6600"/>
                  </a:solidFill>
                  <a:latin typeface="Arial"/>
                  <a:cs typeface="Arial"/>
                </a:rPr>
                <a:t>Import Flex Load</a:t>
              </a:r>
            </a:p>
          </xdr:txBody>
        </xdr:sp>
        <xdr:clientData fPrintsWithSheet="0"/>
      </xdr:twoCellAnchor>
    </mc:Choice>
    <mc:Fallback/>
  </mc:AlternateContent>
  <xdr:twoCellAnchor editAs="oneCell">
    <xdr:from>
      <xdr:col>17</xdr:col>
      <xdr:colOff>0</xdr:colOff>
      <xdr:row>4</xdr:row>
      <xdr:rowOff>0</xdr:rowOff>
    </xdr:from>
    <xdr:to>
      <xdr:col>27</xdr:col>
      <xdr:colOff>225565</xdr:colOff>
      <xdr:row>26</xdr:row>
      <xdr:rowOff>30870</xdr:rowOff>
    </xdr:to>
    <xdr:pic>
      <xdr:nvPicPr>
        <xdr:cNvPr id="10" name="CF_Plot">
          <a:extLst>
            <a:ext uri="{FF2B5EF4-FFF2-40B4-BE49-F238E27FC236}">
              <a16:creationId xmlns:a16="http://schemas.microsoft.com/office/drawing/2014/main" id="{59CE4263-97A4-4A5F-689E-F6B81A7FC34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963900" y="781050"/>
          <a:ext cx="6321565" cy="428854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38100</xdr:colOff>
      <xdr:row>1</xdr:row>
      <xdr:rowOff>142875</xdr:rowOff>
    </xdr:from>
    <xdr:ext cx="2190793" cy="337186"/>
    <xdr:sp macro="" textlink="">
      <xdr:nvSpPr>
        <xdr:cNvPr id="2" name="TextBox 1">
          <a:extLst>
            <a:ext uri="{FF2B5EF4-FFF2-40B4-BE49-F238E27FC236}">
              <a16:creationId xmlns:a16="http://schemas.microsoft.com/office/drawing/2014/main" id="{3E544994-5031-45AB-B80F-7938ED960949}"/>
            </a:ext>
          </a:extLst>
        </xdr:cNvPr>
        <xdr:cNvSpPr txBox="1"/>
      </xdr:nvSpPr>
      <xdr:spPr>
        <a:xfrm>
          <a:off x="3924300" y="342900"/>
          <a:ext cx="2190793" cy="337186"/>
        </a:xfrm>
        <a:prstGeom prst="rect">
          <a:avLst/>
        </a:prstGeom>
        <a:ln w="28575"/>
      </xdr:spPr>
      <xdr:style>
        <a:lnRef idx="2">
          <a:schemeClr val="accent4"/>
        </a:lnRef>
        <a:fillRef idx="1">
          <a:schemeClr val="lt1"/>
        </a:fillRef>
        <a:effectRef idx="0">
          <a:schemeClr val="accent4"/>
        </a:effectRef>
        <a:fontRef idx="minor">
          <a:schemeClr val="dk1"/>
        </a:fontRef>
      </xdr:style>
      <xdr:txBody>
        <a:bodyPr vertOverflow="clip" horzOverflow="clip" wrap="none" rtlCol="0" anchor="ctr">
          <a:noAutofit/>
        </a:bodyPr>
        <a:lstStyle/>
        <a:p>
          <a:pPr algn="ctr"/>
          <a:r>
            <a:rPr lang="en-US" sz="1600" b="1">
              <a:latin typeface="Arial" panose="020B0604020202020204" pitchFamily="34" charset="0"/>
              <a:cs typeface="Arial" panose="020B0604020202020204" pitchFamily="34" charset="0"/>
            </a:rPr>
            <a:t>NORMALIZED</a:t>
          </a:r>
          <a:r>
            <a:rPr lang="en-US" sz="1600" b="1" baseline="0">
              <a:latin typeface="Arial" panose="020B0604020202020204" pitchFamily="34" charset="0"/>
              <a:cs typeface="Arial" panose="020B0604020202020204" pitchFamily="34" charset="0"/>
            </a:rPr>
            <a:t> LOAD</a:t>
          </a:r>
          <a:endParaRPr lang="en-US" sz="1600" b="1">
            <a:latin typeface="Arial" panose="020B0604020202020204" pitchFamily="34" charset="0"/>
            <a:cs typeface="Arial" panose="020B0604020202020204" pitchFamily="34" charset="0"/>
          </a:endParaRPr>
        </a:p>
      </xdr:txBody>
    </xdr:sp>
    <xdr:clientData/>
  </xdr:oneCellAnchor>
  <xdr:oneCellAnchor>
    <xdr:from>
      <xdr:col>3</xdr:col>
      <xdr:colOff>247650</xdr:colOff>
      <xdr:row>24</xdr:row>
      <xdr:rowOff>57150</xdr:rowOff>
    </xdr:from>
    <xdr:ext cx="1814664" cy="328295"/>
    <xdr:sp macro="" textlink="">
      <xdr:nvSpPr>
        <xdr:cNvPr id="3" name="TextBox 2">
          <a:extLst>
            <a:ext uri="{FF2B5EF4-FFF2-40B4-BE49-F238E27FC236}">
              <a16:creationId xmlns:a16="http://schemas.microsoft.com/office/drawing/2014/main" id="{0F8159DB-B953-4B79-9853-47622BDD1AAE}"/>
            </a:ext>
          </a:extLst>
        </xdr:cNvPr>
        <xdr:cNvSpPr txBox="1"/>
      </xdr:nvSpPr>
      <xdr:spPr>
        <a:xfrm>
          <a:off x="1752600" y="4695825"/>
          <a:ext cx="1814664" cy="32829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wrap="none" rtlCol="0" anchor="ctr">
          <a:spAutoFit/>
        </a:bodyPr>
        <a:lstStyle/>
        <a:p>
          <a:pPr algn="ctr"/>
          <a:r>
            <a:rPr lang="en-US" sz="1600" b="1">
              <a:latin typeface="Arial" panose="020B0604020202020204" pitchFamily="34" charset="0"/>
              <a:cs typeface="Arial" panose="020B0604020202020204" pitchFamily="34" charset="0"/>
            </a:rPr>
            <a:t>INPUT</a:t>
          </a:r>
          <a:r>
            <a:rPr lang="en-US" sz="1600" b="1" baseline="0">
              <a:latin typeface="Arial" panose="020B0604020202020204" pitchFamily="34" charset="0"/>
              <a:cs typeface="Arial" panose="020B0604020202020204" pitchFamily="34" charset="0"/>
            </a:rPr>
            <a:t> WEIGHTS</a:t>
          </a:r>
          <a:endParaRPr lang="en-US" sz="1600" b="1">
            <a:latin typeface="Arial" panose="020B0604020202020204" pitchFamily="34" charset="0"/>
            <a:cs typeface="Arial" panose="020B0604020202020204"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1676400</xdr:colOff>
      <xdr:row>2</xdr:row>
      <xdr:rowOff>9525</xdr:rowOff>
    </xdr:from>
    <xdr:ext cx="3387851" cy="328295"/>
    <xdr:sp macro="" textlink="">
      <xdr:nvSpPr>
        <xdr:cNvPr id="2" name="TextBox 1">
          <a:extLst>
            <a:ext uri="{FF2B5EF4-FFF2-40B4-BE49-F238E27FC236}">
              <a16:creationId xmlns:a16="http://schemas.microsoft.com/office/drawing/2014/main" id="{EA874942-2E0C-4A71-8503-AC30F8AF63E4}"/>
            </a:ext>
          </a:extLst>
        </xdr:cNvPr>
        <xdr:cNvSpPr txBox="1"/>
      </xdr:nvSpPr>
      <xdr:spPr>
        <a:xfrm>
          <a:off x="3181350" y="400050"/>
          <a:ext cx="3387851" cy="32829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wrap="none" rtlCol="0" anchor="ctr">
          <a:spAutoFit/>
        </a:bodyPr>
        <a:lstStyle/>
        <a:p>
          <a:pPr algn="ctr"/>
          <a:r>
            <a:rPr lang="en-US" sz="1600" b="1">
              <a:latin typeface="Arial" panose="020B0604020202020204" pitchFamily="34" charset="0"/>
              <a:cs typeface="Arial" panose="020B0604020202020204" pitchFamily="34" charset="0"/>
            </a:rPr>
            <a:t>IDEAL</a:t>
          </a:r>
          <a:r>
            <a:rPr lang="en-US" sz="1600" b="1" baseline="0">
              <a:latin typeface="Arial" panose="020B0604020202020204" pitchFamily="34" charset="0"/>
              <a:cs typeface="Arial" panose="020B0604020202020204" pitchFamily="34" charset="0"/>
            </a:rPr>
            <a:t> AND NON-IDEAL VALUES</a:t>
          </a:r>
          <a:endParaRPr lang="en-US" sz="1600" b="1">
            <a:latin typeface="Arial" panose="020B0604020202020204" pitchFamily="34" charset="0"/>
            <a:cs typeface="Arial" panose="020B0604020202020204" pitchFamily="34" charset="0"/>
          </a:endParaRPr>
        </a:p>
      </xdr:txBody>
    </xdr:sp>
    <xdr:clientData/>
  </xdr:oneCellAnchor>
  <xdr:twoCellAnchor>
    <xdr:from>
      <xdr:col>1</xdr:col>
      <xdr:colOff>142875</xdr:colOff>
      <xdr:row>4</xdr:row>
      <xdr:rowOff>114300</xdr:rowOff>
    </xdr:from>
    <xdr:to>
      <xdr:col>10</xdr:col>
      <xdr:colOff>133350</xdr:colOff>
      <xdr:row>39</xdr:row>
      <xdr:rowOff>85725</xdr:rowOff>
    </xdr:to>
    <xdr:sp macro="" textlink="">
      <xdr:nvSpPr>
        <xdr:cNvPr id="3" name="Rectangle 2">
          <a:extLst>
            <a:ext uri="{FF2B5EF4-FFF2-40B4-BE49-F238E27FC236}">
              <a16:creationId xmlns:a16="http://schemas.microsoft.com/office/drawing/2014/main" id="{3547B93F-9496-4E2A-860B-DD2144147D52}"/>
            </a:ext>
          </a:extLst>
        </xdr:cNvPr>
        <xdr:cNvSpPr/>
      </xdr:nvSpPr>
      <xdr:spPr>
        <a:xfrm>
          <a:off x="390525" y="885825"/>
          <a:ext cx="9344025" cy="6753225"/>
        </a:xfrm>
        <a:prstGeom prst="rect">
          <a:avLst/>
        </a:prstGeom>
        <a:noFill/>
        <a:ln w="28575" cap="flat" cmpd="sng" algn="ctr">
          <a:solidFill>
            <a:schemeClr val="accent3"/>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9</xdr:col>
      <xdr:colOff>47625</xdr:colOff>
      <xdr:row>107</xdr:row>
      <xdr:rowOff>152400</xdr:rowOff>
    </xdr:from>
    <xdr:ext cx="4914900" cy="3152775"/>
    <xdr:pic>
      <xdr:nvPicPr>
        <xdr:cNvPr id="2" name="image6.png" title="Image">
          <a:extLst>
            <a:ext uri="{FF2B5EF4-FFF2-40B4-BE49-F238E27FC236}">
              <a16:creationId xmlns:a16="http://schemas.microsoft.com/office/drawing/2014/main" id="{1064827E-368E-4CEE-99DB-3EFAA85CD6CC}"/>
            </a:ext>
          </a:extLst>
        </xdr:cNvPr>
        <xdr:cNvPicPr preferRelativeResize="0"/>
      </xdr:nvPicPr>
      <xdr:blipFill>
        <a:blip xmlns:r="http://schemas.openxmlformats.org/officeDocument/2006/relationships" r:embed="rId1" cstate="print"/>
        <a:stretch>
          <a:fillRect/>
        </a:stretch>
      </xdr:blipFill>
      <xdr:spPr>
        <a:xfrm>
          <a:off x="6115050" y="20535900"/>
          <a:ext cx="4914900" cy="3152775"/>
        </a:xfrm>
        <a:prstGeom prst="rect">
          <a:avLst/>
        </a:prstGeom>
        <a:noFill/>
      </xdr:spPr>
    </xdr:pic>
    <xdr:clientData fLocksWithSheet="0"/>
  </xdr:oneCellAnchor>
  <xdr:oneCellAnchor>
    <xdr:from>
      <xdr:col>0</xdr:col>
      <xdr:colOff>952500</xdr:colOff>
      <xdr:row>107</xdr:row>
      <xdr:rowOff>171450</xdr:rowOff>
    </xdr:from>
    <xdr:ext cx="4962525" cy="3152775"/>
    <xdr:pic>
      <xdr:nvPicPr>
        <xdr:cNvPr id="3" name="image5.png" title="Image">
          <a:extLst>
            <a:ext uri="{FF2B5EF4-FFF2-40B4-BE49-F238E27FC236}">
              <a16:creationId xmlns:a16="http://schemas.microsoft.com/office/drawing/2014/main" id="{A342955F-B61F-4EAD-8DC8-809269B99A81}"/>
            </a:ext>
          </a:extLst>
        </xdr:cNvPr>
        <xdr:cNvPicPr preferRelativeResize="0"/>
      </xdr:nvPicPr>
      <xdr:blipFill>
        <a:blip xmlns:r="http://schemas.openxmlformats.org/officeDocument/2006/relationships" r:embed="rId2" cstate="print"/>
        <a:stretch>
          <a:fillRect/>
        </a:stretch>
      </xdr:blipFill>
      <xdr:spPr>
        <a:xfrm>
          <a:off x="838200" y="20554950"/>
          <a:ext cx="4962525" cy="3152775"/>
        </a:xfrm>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wnloads/FLS_Calc_v8.xlsx" TargetMode="External"/><Relationship Id="rId2" Type="http://schemas.openxmlformats.org/officeDocument/2006/relationships/externalLinkPath" Target="file:///C:\Users\othma\Downloads\FLS_Calc_v8.xlsx" TargetMode="External"/><Relationship Id="rId1" Type="http://schemas.openxmlformats.org/officeDocument/2006/relationships/externalLinkPath" Target="/Users/othma/Downloads/FLS_Calc_v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alculator"/>
      <sheetName val="CF Data"/>
      <sheetName val="Custom"/>
      <sheetName val="Metric Coefficients"/>
      <sheetName val="LME Demand"/>
      <sheetName val="Sample Load Data"/>
      <sheetName val="Test Loads"/>
      <sheetName val="Metric Description"/>
      <sheetName val="Grid Services Definitions"/>
    </sheetNames>
    <sheetDataSet>
      <sheetData sheetId="0">
        <row r="18">
          <cell r="N18">
            <v>0.75</v>
          </cell>
        </row>
        <row r="19">
          <cell r="N19">
            <v>0.875</v>
          </cell>
        </row>
      </sheetData>
      <sheetData sheetId="1"/>
      <sheetData sheetId="2"/>
      <sheetData sheetId="3"/>
      <sheetData sheetId="4"/>
      <sheetData sheetId="5"/>
      <sheetData sheetId="6"/>
      <sheetData sheetId="7"/>
      <sheetData sheetId="8"/>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6320905-D6F3-4248-9DCC-69237D4BAD00}" autoFormatId="16" applyNumberFormats="0" applyBorderFormats="0" applyFontFormats="0" applyPatternFormats="0" applyAlignmentFormats="0" applyWidthHeightFormats="0">
  <queryTableRefresh nextId="6">
    <queryTableFields count="5">
      <queryTableField id="1" name="Flex Load Type" tableColumnId="1"/>
      <queryTableField id="2" name="Order" tableColumnId="2"/>
      <queryTableField id="3" name="Variable" tableColumnId="3"/>
      <queryTableField id="4" name="Input" tableColumnId="4"/>
      <queryTableField id="5" name="Value" tableColumnId="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FB07E7-DB8A-4631-86F0-5EEB936FC852}" name="December" displayName="December" ref="A1:B5" totalsRowShown="0">
  <autoFilter ref="A1:B5" xr:uid="{57FB07E7-DB8A-4631-86F0-5EEB936FC852}"/>
  <tableColumns count="2">
    <tableColumn id="1" xr3:uid="{D298877F-63F1-4A54-B36C-F69354F27B8E}" name="Selection"/>
    <tableColumn id="2" xr3:uid="{749ABF4B-04AA-4FEF-8D27-3A21306F93E6}" name="Value"/>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9017798-E306-4D7B-94BE-9113E8AFF2E7}" name="July" displayName="July" ref="A1:B5" totalsRowShown="0">
  <autoFilter ref="A1:B5" xr:uid="{39017798-E306-4D7B-94BE-9113E8AFF2E7}"/>
  <tableColumns count="2">
    <tableColumn id="1" xr3:uid="{A3DF4A38-5B26-4042-8C0E-709A92257F16}" name="Selection"/>
    <tableColumn id="2" xr3:uid="{4045EB44-C7B7-4FC2-BEC7-4B3B8D7E0455}" name="Value"/>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A16C8A2-5461-4363-980C-14F526F0BC36}" name="FlexLoads" displayName="FlexLoads" ref="C3:G149" tableType="queryTable" totalsRowShown="0">
  <autoFilter ref="C3:G149" xr:uid="{7A16C8A2-5461-4363-980C-14F526F0BC36}"/>
  <tableColumns count="5">
    <tableColumn id="1" xr3:uid="{BE17BA25-D972-404C-A162-6A916BB3A552}" uniqueName="1" name="Flex Load Type" queryTableFieldId="1"/>
    <tableColumn id="2" xr3:uid="{3C4D4B7A-6671-4457-A43A-F684E56B0381}" uniqueName="2" name="Order" queryTableFieldId="2"/>
    <tableColumn id="3" xr3:uid="{E75C993C-59B7-4FA1-A5A7-3BB502E57206}" uniqueName="3" name="Variable" queryTableFieldId="3"/>
    <tableColumn id="4" xr3:uid="{3534A64B-E0F9-4479-9B48-2574844995DA}" uniqueName="4" name="Input" queryTableFieldId="4"/>
    <tableColumn id="5" xr3:uid="{D44F164A-2EE1-43C6-92E6-3441B9F670C4}" uniqueName="5" name="Value" queryTableField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hyperlink" Target="https://www.oregon.gov/puc/forms/pages/default.aspx" TargetMode="External"/><Relationship Id="rId1" Type="http://schemas.openxmlformats.org/officeDocument/2006/relationships/hyperlink" Target="https://neea.org/img/documents/2022-Residential-Building-Stock-Assessment.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F8878-0F00-44AA-B6CF-BD357C5BCA90}">
  <sheetPr codeName="Sheet1"/>
  <dimension ref="A1:B5"/>
  <sheetViews>
    <sheetView workbookViewId="0"/>
  </sheetViews>
  <sheetFormatPr defaultRowHeight="15"/>
  <cols>
    <col min="1" max="1" width="18.5703125" bestFit="1" customWidth="1"/>
    <col min="2" max="2" width="12" bestFit="1" customWidth="1"/>
  </cols>
  <sheetData>
    <row r="1" spans="1:2">
      <c r="A1" t="s">
        <v>65</v>
      </c>
      <c r="B1" t="s">
        <v>40</v>
      </c>
    </row>
    <row r="2" spans="1:2">
      <c r="A2" t="s">
        <v>67</v>
      </c>
      <c r="B2">
        <v>11331.75</v>
      </c>
    </row>
    <row r="3" spans="1:2">
      <c r="A3" t="s">
        <v>68</v>
      </c>
      <c r="B3">
        <v>11068.09375</v>
      </c>
    </row>
    <row r="4" spans="1:2">
      <c r="A4" t="s">
        <v>69</v>
      </c>
      <c r="B4">
        <v>10877.8125</v>
      </c>
    </row>
    <row r="5" spans="1:2">
      <c r="A5" t="s">
        <v>70</v>
      </c>
      <c r="B5">
        <v>10479.46875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CF641-073E-43B9-AB60-FB3DDAA72CDC}">
  <sheetPr codeName="Sheet2"/>
  <dimension ref="A1:B5"/>
  <sheetViews>
    <sheetView workbookViewId="0">
      <selection activeCell="E25" sqref="E25"/>
    </sheetView>
  </sheetViews>
  <sheetFormatPr defaultRowHeight="15"/>
  <cols>
    <col min="1" max="1" width="12.7109375" bestFit="1" customWidth="1"/>
    <col min="2" max="2" width="11" bestFit="1" customWidth="1"/>
  </cols>
  <sheetData>
    <row r="1" spans="1:2">
      <c r="A1" t="s">
        <v>65</v>
      </c>
      <c r="B1" t="s">
        <v>40</v>
      </c>
    </row>
    <row r="2" spans="1:2">
      <c r="A2" t="s">
        <v>58</v>
      </c>
      <c r="B2">
        <v>14051.25</v>
      </c>
    </row>
    <row r="3" spans="1:2">
      <c r="A3" t="s">
        <v>63</v>
      </c>
      <c r="B3">
        <v>11893.4375</v>
      </c>
    </row>
    <row r="4" spans="1:2">
      <c r="A4" t="s">
        <v>64</v>
      </c>
      <c r="B4">
        <v>11112.625</v>
      </c>
    </row>
    <row r="5" spans="1:2">
      <c r="A5" t="s">
        <v>66</v>
      </c>
      <c r="B5">
        <v>9907.125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39D3D-24F4-4C2A-8E51-A214E0234F32}">
  <sheetPr codeName="Sheet3"/>
  <dimension ref="B1:P49"/>
  <sheetViews>
    <sheetView tabSelected="1" topLeftCell="D1" zoomScale="90" zoomScaleNormal="90" workbookViewId="0">
      <selection activeCell="I6" sqref="I6:K6"/>
    </sheetView>
  </sheetViews>
  <sheetFormatPr defaultRowHeight="15"/>
  <cols>
    <col min="2" max="2" width="3.7109375" customWidth="1"/>
    <col min="3" max="3" width="16.5703125" bestFit="1" customWidth="1"/>
    <col min="4" max="4" width="13.85546875" customWidth="1"/>
    <col min="5" max="5" width="5.7109375" customWidth="1"/>
    <col min="6" max="6" width="18.7109375" customWidth="1"/>
    <col min="7" max="7" width="13.85546875" customWidth="1"/>
    <col min="8" max="8" width="5.140625" bestFit="1" customWidth="1"/>
    <col min="9" max="9" width="18.7109375" customWidth="1"/>
    <col min="10" max="10" width="46.7109375" customWidth="1"/>
    <col min="11" max="11" width="10.7109375" customWidth="1"/>
    <col min="12" max="12" width="3.7109375" customWidth="1"/>
    <col min="13" max="13" width="19.7109375" customWidth="1"/>
    <col min="14" max="14" width="29.140625" customWidth="1"/>
    <col min="15" max="15" width="11.140625" customWidth="1"/>
    <col min="16" max="16" width="3.7109375" customWidth="1"/>
  </cols>
  <sheetData>
    <row r="1" spans="2:16" ht="15.75" thickBot="1"/>
    <row r="2" spans="2:16">
      <c r="B2" s="105"/>
      <c r="C2" s="106"/>
      <c r="D2" s="106"/>
      <c r="E2" s="106"/>
      <c r="F2" s="106"/>
      <c r="G2" s="106"/>
      <c r="H2" s="106"/>
      <c r="I2" s="106"/>
      <c r="J2" s="106"/>
      <c r="K2" s="106"/>
      <c r="L2" s="106"/>
      <c r="M2" s="106"/>
      <c r="N2" s="106"/>
      <c r="O2" s="106"/>
      <c r="P2" s="107"/>
    </row>
    <row r="3" spans="2:16">
      <c r="B3" s="108"/>
      <c r="C3" s="109"/>
      <c r="D3" s="109"/>
      <c r="E3" s="109"/>
      <c r="F3" s="109"/>
      <c r="G3" s="109"/>
      <c r="H3" s="109"/>
      <c r="I3" s="109"/>
      <c r="J3" s="109"/>
      <c r="K3" s="109"/>
      <c r="L3" s="109"/>
      <c r="M3" s="109"/>
      <c r="N3" s="109"/>
      <c r="O3" s="109"/>
      <c r="P3" s="110"/>
    </row>
    <row r="4" spans="2:16" ht="15.75" thickBot="1">
      <c r="B4" s="108"/>
      <c r="C4" s="109"/>
      <c r="D4" s="109"/>
      <c r="E4" s="109"/>
      <c r="F4" s="109"/>
      <c r="G4" s="109"/>
      <c r="H4" s="109"/>
      <c r="I4" s="109"/>
      <c r="J4" s="109"/>
      <c r="K4" s="109"/>
      <c r="L4" s="109"/>
      <c r="M4" s="109"/>
      <c r="N4" s="109"/>
      <c r="O4" s="109"/>
      <c r="P4" s="110"/>
    </row>
    <row r="5" spans="2:16">
      <c r="B5" s="108"/>
      <c r="C5" s="109"/>
      <c r="D5" s="109"/>
      <c r="E5" s="109"/>
      <c r="F5" s="109"/>
      <c r="G5" s="109"/>
      <c r="H5" s="109"/>
      <c r="I5" s="233" t="s">
        <v>0</v>
      </c>
      <c r="J5" s="234"/>
      <c r="K5" s="235"/>
      <c r="L5" s="109"/>
      <c r="M5" s="233" t="s">
        <v>1</v>
      </c>
      <c r="N5" s="234"/>
      <c r="O5" s="235"/>
      <c r="P5" s="110"/>
    </row>
    <row r="6" spans="2:16">
      <c r="B6" s="108"/>
      <c r="C6" s="109"/>
      <c r="D6" s="109"/>
      <c r="E6" s="109"/>
      <c r="F6" s="109"/>
      <c r="G6" s="109"/>
      <c r="H6" s="109"/>
      <c r="I6" s="236" t="s">
        <v>116</v>
      </c>
      <c r="J6" s="237"/>
      <c r="K6" s="238"/>
      <c r="L6" s="109"/>
      <c r="M6" s="236" t="s">
        <v>2</v>
      </c>
      <c r="N6" s="237"/>
      <c r="O6" s="238"/>
      <c r="P6" s="110"/>
    </row>
    <row r="7" spans="2:16" ht="15.75" thickBot="1">
      <c r="B7" s="108"/>
      <c r="C7" s="109"/>
      <c r="D7" s="109"/>
      <c r="E7" s="109"/>
      <c r="F7" s="109"/>
      <c r="G7" s="109"/>
      <c r="H7" s="109"/>
      <c r="I7" s="242" t="s">
        <v>3</v>
      </c>
      <c r="J7" s="243"/>
      <c r="K7" s="244"/>
      <c r="L7" s="109"/>
      <c r="M7" s="239" t="str">
        <f>I7</f>
        <v>AO Smith HP</v>
      </c>
      <c r="N7" s="240"/>
      <c r="O7" s="241"/>
      <c r="P7" s="110"/>
    </row>
    <row r="8" spans="2:16">
      <c r="B8" s="108"/>
      <c r="C8" s="109"/>
      <c r="D8" s="109"/>
      <c r="E8" s="109"/>
      <c r="F8" s="109"/>
      <c r="G8" s="109"/>
      <c r="H8" s="109"/>
      <c r="I8" s="156" t="s">
        <v>38</v>
      </c>
      <c r="J8" s="157" t="s">
        <v>39</v>
      </c>
      <c r="K8" s="158" t="s">
        <v>40</v>
      </c>
      <c r="L8" s="109"/>
      <c r="M8" s="249" t="s">
        <v>16</v>
      </c>
      <c r="N8" s="159" t="s">
        <v>4</v>
      </c>
      <c r="O8" s="160">
        <f>IF(FLType="Heat Pump Water Heater",'Input Calculations'!E6,IF(FLType="Electric Resistance Water Heater",'Input Calculations'!K6,IF(FLType="HVAC",'Input Calculations'!Q6,IF(FLType="EV Charger",'Input Calculations'!E27,IF(FLType="Dryer",'Input Calculations'!K27,IF(FLType="Battery",'Input Calculations'!Q28,IF(FLType="Generic",'Input Calculations'!E48,"")))))))</f>
        <v>4.95</v>
      </c>
      <c r="P8" s="110"/>
    </row>
    <row r="9" spans="2:16">
      <c r="B9" s="108"/>
      <c r="C9" s="109"/>
      <c r="D9" s="109"/>
      <c r="E9" s="109"/>
      <c r="F9" s="109"/>
      <c r="G9" s="109"/>
      <c r="H9" s="109"/>
      <c r="I9" s="142" t="str" cm="1">
        <f t="array" ref="I9">_xlfn._xlws.FILTER(FlexLoads[Variable],(FlexLoads[Flex Load Type]=$I$6)*(FlexLoads[Order]&lt;=9),"")</f>
        <v/>
      </c>
      <c r="J9" s="165" t="str" cm="1">
        <f t="array" ref="J9">_xlfn._xlws.FILTER(FlexLoads[Input],(FlexLoads[Flex Load Type]=$I$6)*(FlexLoads[Order]&lt;=9),"")</f>
        <v/>
      </c>
      <c r="K9" s="143" t="str" cm="1">
        <f t="array" ref="K9">_xlfn._xlws.FILTER(FlexLoads[Value],(FlexLoads[Flex Load Type]=$I$6)*(FlexLoads[Order]&lt;=9),"")</f>
        <v/>
      </c>
      <c r="L9" s="109"/>
      <c r="M9" s="247"/>
      <c r="N9" s="153" t="s">
        <v>174</v>
      </c>
      <c r="O9" s="143">
        <f>IF(FLType="Heat Pump Water Heater",'Input Calculations'!E7,IF(FLType="Electric Resistance Water Heater",'Input Calculations'!K7,IF(FLType="HVAC",'Input Calculations'!Q7,IF(FLType="EV Charger",'Input Calculations'!E28,IF(FLType="Dryer",'Input Calculations'!K28,IF(FLType="Battery",'Input Calculations'!Q28,IF(FLType="Generic",'Input Calculations'!E49,"")))))))</f>
        <v>0.45</v>
      </c>
      <c r="P9" s="110"/>
    </row>
    <row r="10" spans="2:16" ht="15.75" thickBot="1">
      <c r="B10" s="108"/>
      <c r="C10" s="109"/>
      <c r="D10" s="109"/>
      <c r="E10" s="109"/>
      <c r="F10" s="109"/>
      <c r="G10" s="109"/>
      <c r="H10" s="109"/>
      <c r="I10" s="142"/>
      <c r="J10" s="153"/>
      <c r="K10" s="143"/>
      <c r="L10" s="109"/>
      <c r="M10" s="248"/>
      <c r="N10" s="147" t="s">
        <v>175</v>
      </c>
      <c r="O10" s="146">
        <f>IF(FLType="Heat Pump Water Heater",'Input Calculations'!E8,IF(FLType="Electric Resistance Water Heater",'Input Calculations'!K8,IF(FLType="HVAC",'Input Calculations'!Q8,IF(FLType="EV Charger",'Input Calculations'!E29,IF(FLType="Dryer",'Input Calculations'!K29,IF(FLType="Battery",'Input Calculations'!Q29,IF(FLType="Generic",'Input Calculations'!E50,"")))))))</f>
        <v>0.45</v>
      </c>
      <c r="P10" s="110"/>
    </row>
    <row r="11" spans="2:16">
      <c r="B11" s="108"/>
      <c r="C11" s="109"/>
      <c r="D11" s="109"/>
      <c r="E11" s="109"/>
      <c r="F11" s="109"/>
      <c r="G11" s="109"/>
      <c r="H11" s="109"/>
      <c r="I11" s="142"/>
      <c r="J11" s="153"/>
      <c r="K11" s="143"/>
      <c r="L11" s="109"/>
      <c r="M11" s="246" t="s">
        <v>17</v>
      </c>
      <c r="N11" s="161" t="s">
        <v>49</v>
      </c>
      <c r="O11" s="162">
        <f>IF(FLType="Heat Pump Water Heater",'Input Calculations'!E9,IF(FLType="Electric Resistance Water Heater",'Input Calculations'!K9,IF(FLType="HVAC",'Input Calculations'!Q9,IF(FLType="EV Charger",'Input Calculations'!E30,IF(FLType="Dryer",'Input Calculations'!K30,IF(FLType="Generic",'Input Calculations'!E51,""))))))</f>
        <v>120</v>
      </c>
      <c r="P11" s="110"/>
    </row>
    <row r="12" spans="2:16">
      <c r="B12" s="108"/>
      <c r="C12" s="109"/>
      <c r="D12" s="109"/>
      <c r="E12" s="109"/>
      <c r="F12" s="109"/>
      <c r="G12" s="109"/>
      <c r="H12" s="109"/>
      <c r="I12" s="142"/>
      <c r="J12" s="153"/>
      <c r="K12" s="143"/>
      <c r="L12" s="109"/>
      <c r="M12" s="250"/>
      <c r="N12" s="225" t="s">
        <v>18</v>
      </c>
      <c r="O12" s="205">
        <f>IF(FLType="Heat Pump Water Heater",'Input Calculations'!E10,IF(FLType="Electric Resistance Water Heater",'Input Calculations'!K10,IF(FLType="HVAC",'Input Calculations'!Q10,IF(FLType="EV Charger",'Input Calculations'!E31,IF(FLType="Dryer",'Input Calculations'!K31,IF(FLType="Battery",'Input Calculations'!Q31,IF(FLType="Generic",'Input Calculations'!E52,"")))))))</f>
        <v>120</v>
      </c>
      <c r="P12" s="110"/>
    </row>
    <row r="13" spans="2:16" ht="15.75" thickBot="1">
      <c r="B13" s="108"/>
      <c r="C13" s="109"/>
      <c r="D13" s="109"/>
      <c r="E13" s="109"/>
      <c r="F13" s="109"/>
      <c r="G13" s="109"/>
      <c r="H13" s="109"/>
      <c r="I13" s="142"/>
      <c r="J13" s="153"/>
      <c r="K13" s="143"/>
      <c r="L13" s="109"/>
      <c r="M13" s="251"/>
      <c r="N13" s="163" t="s">
        <v>50</v>
      </c>
      <c r="O13" s="164">
        <f>IF(FLType="Heat Pump Water Heater",'Input Calculations'!E11,IF(FLType="Electric Resistance Water Heater",'Input Calculations'!K11,IF(FLType="HVAC",'Input Calculations'!Q11,IF(FLType="EV Charger",'Input Calculations'!E32,IF(FLType="Dryer",'Input Calculations'!K32,IF(FLType="Battery",'Input Calculations'!Q32,IF(FLType="Generic",'Input Calculations'!E53,"")))))))</f>
        <v>120</v>
      </c>
      <c r="P13" s="110"/>
    </row>
    <row r="14" spans="2:16">
      <c r="B14" s="108"/>
      <c r="C14" s="109"/>
      <c r="D14" s="109"/>
      <c r="E14" s="109"/>
      <c r="F14" s="109"/>
      <c r="G14" s="109"/>
      <c r="H14" s="109"/>
      <c r="I14" s="142"/>
      <c r="J14" s="153"/>
      <c r="K14" s="143"/>
      <c r="L14" s="109"/>
      <c r="M14" s="249" t="s">
        <v>10</v>
      </c>
      <c r="N14" s="159" t="s">
        <v>11</v>
      </c>
      <c r="O14" s="160" t="str">
        <f>IF(FLType="Heat Pump Water Heater",'Input Calculations'!E12,IF(FLType="Electric Resistance Water Heater",'Input Calculations'!K12,IF(FLType="HVAC",'Input Calculations'!Q12,IF(FLType="EV Charger",'Input Calculations'!E33,IF(FLType="Dryer",'Input Calculations'!K33,IF(FLType="Battery",'Input Calculations'!Q33,IF(FLType="Generic",'Input Calculations'!E54,"")))))))</f>
        <v>Yes</v>
      </c>
      <c r="P14" s="110"/>
    </row>
    <row r="15" spans="2:16">
      <c r="B15" s="108"/>
      <c r="C15" s="109"/>
      <c r="D15" s="109"/>
      <c r="E15" s="109"/>
      <c r="F15" s="109"/>
      <c r="G15" s="109"/>
      <c r="H15" s="109"/>
      <c r="I15" s="142"/>
      <c r="J15" s="153"/>
      <c r="K15" s="154"/>
      <c r="L15" s="109"/>
      <c r="M15" s="247"/>
      <c r="N15" s="153" t="s">
        <v>13</v>
      </c>
      <c r="O15" s="143" t="str">
        <f>IF(FLType="Heat Pump Water Heater",'Input Calculations'!E13,IF(FLType="Electric Resistance Water Heater",'Input Calculations'!K13,IF(FLType="HVAC",'Input Calculations'!Q13,IF(FLType="EV Charger",'Input Calculations'!E34,IF(FLType="Dryer",'Input Calculations'!K34,IF(FLType="Battery",'Input Calculations'!Q34,IF(FLType="Generic",'Input Calculations'!E55,"")))))))</f>
        <v>Yes</v>
      </c>
      <c r="P15" s="110"/>
    </row>
    <row r="16" spans="2:16">
      <c r="B16" s="108"/>
      <c r="C16" s="109"/>
      <c r="D16" s="109"/>
      <c r="E16" s="109"/>
      <c r="F16" s="109"/>
      <c r="G16" s="109"/>
      <c r="H16" s="109"/>
      <c r="I16" s="142"/>
      <c r="J16" s="153"/>
      <c r="K16" s="143"/>
      <c r="L16" s="109"/>
      <c r="M16" s="247"/>
      <c r="N16" s="153" t="s">
        <v>14</v>
      </c>
      <c r="O16" s="143" t="str">
        <f>IF(FLType="Heat Pump Water Heater",'Input Calculations'!E14,IF(FLType="Electric Resistance Water Heater",'Input Calculations'!K14,IF(FLType="HVAC",'Input Calculations'!Q14,IF(FLType="EV Charger",'Input Calculations'!E35,IF(FLType="Dryer",'Input Calculations'!K35,IF(FLType="Battery",'Input Calculations'!Q35,IF(FLType="Generic",'Input Calculations'!E56,"")))))))</f>
        <v>Yes</v>
      </c>
      <c r="P16" s="110"/>
    </row>
    <row r="17" spans="2:16" ht="15.75" thickBot="1">
      <c r="B17" s="108"/>
      <c r="C17" s="109"/>
      <c r="D17" s="109"/>
      <c r="E17" s="109"/>
      <c r="F17" s="109"/>
      <c r="G17" s="109"/>
      <c r="H17" s="109"/>
      <c r="I17" s="145"/>
      <c r="J17" s="147"/>
      <c r="K17" s="146"/>
      <c r="L17" s="109"/>
      <c r="M17" s="248"/>
      <c r="N17" s="147" t="s">
        <v>15</v>
      </c>
      <c r="O17" s="146" t="str">
        <f>IF(FLType="Heat Pump Water Heater",'Input Calculations'!E15,IF(FLType="Electric Resistance Water Heater",'Input Calculations'!K15,IF(FLType="HVAC",'Input Calculations'!Q15,IF(FLType="EV Charger",'Input Calculations'!E36,IF(FLType="Dryer",'Input Calculations'!K36,IF(FLType="Battery",'Input Calculations'!Q36,IF(FLType="Generic",'Input Calculations'!E57,"")))))))</f>
        <v>Yes</v>
      </c>
      <c r="P17" s="110"/>
    </row>
    <row r="18" spans="2:16">
      <c r="B18" s="108"/>
      <c r="C18" s="109"/>
      <c r="D18" s="109"/>
      <c r="E18" s="109"/>
      <c r="F18" s="109"/>
      <c r="G18" s="109"/>
      <c r="H18" s="109"/>
      <c r="I18" s="109"/>
      <c r="J18" s="109"/>
      <c r="K18" s="109"/>
      <c r="L18" s="109"/>
      <c r="M18" s="246" t="s">
        <v>5</v>
      </c>
      <c r="N18" s="161" t="s">
        <v>12</v>
      </c>
      <c r="O18" s="162" t="str">
        <f>IF(FLType="Heat Pump Water Heater",'Input Calculations'!E16,IF(FLType="Electric Resistance Water Heater",'Input Calculations'!K16,IF(FLType="HVAC",'Input Calculations'!Q16,IF(FLType="EV Charger",'Input Calculations'!E37,IF(FLType="Dryer",'Input Calculations'!K37,IF(FLType="Battery",'Input Calculations'!Q37,IF(FLType="Generic",'Input Calculations'!E58,"")))))))</f>
        <v>Yes</v>
      </c>
      <c r="P18" s="110"/>
    </row>
    <row r="19" spans="2:16">
      <c r="B19" s="108"/>
      <c r="C19" s="109"/>
      <c r="D19" s="109"/>
      <c r="E19" s="109"/>
      <c r="F19" s="109"/>
      <c r="G19" s="109"/>
      <c r="H19" s="109"/>
      <c r="I19" s="109"/>
      <c r="J19" s="109"/>
      <c r="K19" s="109"/>
      <c r="L19" s="109"/>
      <c r="M19" s="247"/>
      <c r="N19" s="153" t="s">
        <v>6</v>
      </c>
      <c r="O19" s="143" t="str">
        <f>IF(FLType="Heat Pump Water Heater",'Input Calculations'!E17,IF(FLType="Electric Resistance Water Heater",'Input Calculations'!K17,IF(FLType="HVAC",'Input Calculations'!Q17,IF(FLType="EV Charger",'Input Calculations'!E38,IF(FLType="Dryer",'Input Calculations'!K38,IF(FLType="Battery",'Input Calculations'!Q38,IF(FLType="Generic",'Input Calculations'!E59,"")))))))</f>
        <v>Yes</v>
      </c>
      <c r="P19" s="110"/>
    </row>
    <row r="20" spans="2:16">
      <c r="B20" s="108"/>
      <c r="C20" s="109"/>
      <c r="D20" s="109"/>
      <c r="E20" s="109"/>
      <c r="F20" s="109"/>
      <c r="G20" s="109"/>
      <c r="H20" s="109"/>
      <c r="I20" s="109"/>
      <c r="J20" s="109"/>
      <c r="K20" s="109"/>
      <c r="L20" s="109"/>
      <c r="M20" s="247"/>
      <c r="N20" s="153" t="s">
        <v>7</v>
      </c>
      <c r="O20" s="143" t="str">
        <f>IF(FLType="Heat Pump Water Heater",'Input Calculations'!E18,IF(FLType="Electric Resistance Water Heater",'Input Calculations'!K18,IF(FLType="HVAC",'Input Calculations'!Q18,IF(FLType="EV Charger",'Input Calculations'!E39,IF(FLType="Dryer",'Input Calculations'!K39,IF(FLType="Battery",'Input Calculations'!Q39,IF(FLType="Generic",'Input Calculations'!E60,"")))))))</f>
        <v>Yes</v>
      </c>
      <c r="P20" s="110"/>
    </row>
    <row r="21" spans="2:16">
      <c r="B21" s="108"/>
      <c r="C21" s="109"/>
      <c r="D21" s="109"/>
      <c r="E21" s="109"/>
      <c r="F21" s="109"/>
      <c r="G21" s="109"/>
      <c r="H21" s="109"/>
      <c r="I21" s="109"/>
      <c r="J21" s="109"/>
      <c r="K21" s="109"/>
      <c r="L21" s="109"/>
      <c r="M21" s="247"/>
      <c r="N21" s="153" t="s">
        <v>8</v>
      </c>
      <c r="O21" s="143" t="str">
        <f>IF(FLType="Heat Pump Water Heater",'Input Calculations'!E19,IF(FLType="Electric Resistance Water Heater",'Input Calculations'!K19,IF(FLType="HVAC",'Input Calculations'!Q19,IF(FLType="EV Charger",'Input Calculations'!E40,IF(FLType="Dryer",'Input Calculations'!K40,IF(FLType="Battery",'Input Calculations'!Q40,IF(FLType="Generic",'Input Calculations'!E61,"")))))))</f>
        <v>Yes</v>
      </c>
      <c r="P21" s="110"/>
    </row>
    <row r="22" spans="2:16" ht="15.75" thickBot="1">
      <c r="B22" s="108"/>
      <c r="C22" s="109"/>
      <c r="D22" s="109"/>
      <c r="E22" s="109"/>
      <c r="F22" s="109"/>
      <c r="G22" s="109"/>
      <c r="H22" s="109"/>
      <c r="I22" s="109"/>
      <c r="J22" s="109"/>
      <c r="K22" s="109"/>
      <c r="L22" s="109"/>
      <c r="M22" s="248"/>
      <c r="N22" s="147" t="s">
        <v>9</v>
      </c>
      <c r="O22" s="155" t="str">
        <f>IF(FLType="Heat Pump Water Heater",'Input Calculations'!E20,IF(FLType="Electric Resistance Water Heater",'Input Calculations'!K20,IF(FLType="HVAC",'Input Calculations'!Q20,IF(FLType="EV Charger",'Input Calculations'!E41,IF(FLType="Dryer",'Input Calculations'!K41,IF(FLType="Battery",'Input Calculations'!Q41,IF(FLType="Generic",'Input Calculations'!E62,"")))))))</f>
        <v>Yes</v>
      </c>
      <c r="P22" s="110"/>
    </row>
    <row r="23" spans="2:16">
      <c r="B23" s="108"/>
      <c r="C23" s="109"/>
      <c r="D23" s="109"/>
      <c r="E23" s="109"/>
      <c r="F23" s="109"/>
      <c r="G23" s="109"/>
      <c r="H23" s="109"/>
      <c r="I23" s="109"/>
      <c r="J23" s="109"/>
      <c r="K23" s="109"/>
      <c r="L23" s="109"/>
      <c r="M23" s="109"/>
      <c r="N23" s="109"/>
      <c r="O23" s="109"/>
      <c r="P23" s="110"/>
    </row>
    <row r="24" spans="2:16" ht="15.75" thickBot="1">
      <c r="B24" s="108"/>
      <c r="C24" s="109"/>
      <c r="D24" s="109"/>
      <c r="E24" s="109"/>
      <c r="F24" s="109"/>
      <c r="G24" s="109"/>
      <c r="H24" s="109"/>
      <c r="I24" s="109"/>
      <c r="J24" s="109"/>
      <c r="K24" s="109"/>
      <c r="L24" s="109"/>
      <c r="M24" s="109"/>
      <c r="N24" s="109"/>
      <c r="O24" s="109"/>
      <c r="P24" s="110"/>
    </row>
    <row r="25" spans="2:16">
      <c r="B25" s="108"/>
      <c r="C25" s="109"/>
      <c r="D25" s="109"/>
      <c r="E25" s="109"/>
      <c r="F25" s="109"/>
      <c r="G25" s="109"/>
      <c r="H25" s="109"/>
      <c r="I25" s="255" t="s">
        <v>156</v>
      </c>
      <c r="J25" s="256"/>
      <c r="K25" s="109"/>
      <c r="L25" s="109"/>
      <c r="M25" s="109"/>
      <c r="N25" s="109"/>
      <c r="O25" s="109"/>
      <c r="P25" s="110"/>
    </row>
    <row r="26" spans="2:16" ht="15.75" thickBot="1">
      <c r="B26" s="108"/>
      <c r="C26" s="109"/>
      <c r="D26" s="109"/>
      <c r="E26" s="109"/>
      <c r="F26" s="109"/>
      <c r="G26" s="109"/>
      <c r="H26" s="109"/>
      <c r="I26" s="257"/>
      <c r="J26" s="258"/>
      <c r="K26" s="109"/>
      <c r="L26" s="109"/>
      <c r="M26" s="109"/>
      <c r="N26" s="109"/>
      <c r="O26" s="109"/>
      <c r="P26" s="110"/>
    </row>
    <row r="27" spans="2:16">
      <c r="B27" s="108"/>
      <c r="C27" s="109"/>
      <c r="D27" s="109"/>
      <c r="E27" s="109"/>
      <c r="F27" s="109"/>
      <c r="G27" s="109"/>
      <c r="H27" s="109"/>
      <c r="I27" s="109"/>
      <c r="J27" s="109"/>
      <c r="K27" s="109"/>
      <c r="L27" s="109"/>
      <c r="M27" s="109"/>
      <c r="N27" s="109"/>
      <c r="O27" s="109"/>
      <c r="P27" s="110"/>
    </row>
    <row r="28" spans="2:16" ht="15.75" thickBot="1">
      <c r="B28" s="108"/>
      <c r="C28" s="109"/>
      <c r="D28" s="109"/>
      <c r="E28" s="109"/>
      <c r="F28" s="109"/>
      <c r="G28" s="109"/>
      <c r="H28" s="109"/>
      <c r="I28" s="109"/>
      <c r="J28" s="109"/>
      <c r="K28" s="109"/>
      <c r="L28" s="109"/>
      <c r="M28" s="109"/>
      <c r="N28" s="109"/>
      <c r="O28" s="109"/>
      <c r="P28" s="1"/>
    </row>
    <row r="29" spans="2:16" ht="15.75" thickBot="1">
      <c r="B29" s="108"/>
      <c r="C29" s="231" t="s">
        <v>19</v>
      </c>
      <c r="D29" s="232"/>
      <c r="E29" s="140"/>
      <c r="F29" s="166" t="s">
        <v>33</v>
      </c>
      <c r="G29" s="167" t="s">
        <v>24</v>
      </c>
      <c r="H29" s="168" t="s">
        <v>25</v>
      </c>
      <c r="I29" s="109"/>
      <c r="J29" s="109"/>
      <c r="K29" s="109"/>
      <c r="L29" s="109"/>
      <c r="M29" s="166" t="s">
        <v>27</v>
      </c>
      <c r="N29" s="167" t="s">
        <v>24</v>
      </c>
      <c r="O29" s="168" t="s">
        <v>25</v>
      </c>
      <c r="P29" s="110"/>
    </row>
    <row r="30" spans="2:16">
      <c r="B30" s="108"/>
      <c r="C30" s="170" t="s">
        <v>20</v>
      </c>
      <c r="D30" s="213">
        <v>4</v>
      </c>
      <c r="E30" s="140"/>
      <c r="F30" s="170" t="s">
        <v>16</v>
      </c>
      <c r="G30" s="220">
        <f>IFERROR(('Metric Coefficients'!E7*'Metric Coefficients'!E29)+('Metric Coefficients'!E8*'Metric Coefficients'!E30),0)</f>
        <v>7.3571428571428577</v>
      </c>
      <c r="H30" s="160">
        <v>10</v>
      </c>
      <c r="I30" s="109"/>
      <c r="J30" s="109"/>
      <c r="K30" s="109"/>
      <c r="L30" s="109"/>
      <c r="M30" s="169" t="s">
        <v>176</v>
      </c>
      <c r="N30" s="227">
        <v>0.05</v>
      </c>
      <c r="O30" s="160">
        <v>1</v>
      </c>
      <c r="P30" s="110"/>
    </row>
    <row r="31" spans="2:16">
      <c r="B31" s="108"/>
      <c r="C31" s="148" t="s">
        <v>21</v>
      </c>
      <c r="D31" s="214">
        <v>4</v>
      </c>
      <c r="E31" s="140"/>
      <c r="F31" s="148" t="s">
        <v>17</v>
      </c>
      <c r="G31" s="153">
        <f>IFERROR(('Metric Coefficients'!E10*'Metric Coefficients'!E32)+('Metric Coefficients'!E11*'Metric Coefficients'!E33)+('Metric Coefficients'!E12*'Metric Coefficients'!E34),0)</f>
        <v>10</v>
      </c>
      <c r="H31" s="143">
        <v>10</v>
      </c>
      <c r="I31" s="109"/>
      <c r="J31" s="109"/>
      <c r="K31" s="109"/>
      <c r="L31" s="109"/>
      <c r="M31" s="223" t="s">
        <v>177</v>
      </c>
      <c r="N31" s="228">
        <v>0.16437430674302572</v>
      </c>
      <c r="O31" s="162">
        <v>1</v>
      </c>
      <c r="P31" s="110"/>
    </row>
    <row r="32" spans="2:16">
      <c r="B32" s="108"/>
      <c r="C32" s="148" t="s">
        <v>22</v>
      </c>
      <c r="D32" s="214">
        <v>1</v>
      </c>
      <c r="E32" s="140"/>
      <c r="F32" s="148" t="s">
        <v>10</v>
      </c>
      <c r="G32" s="153">
        <f>IFERROR(('Metric Coefficients'!E13*'Metric Coefficients'!E35)+('Metric Coefficients'!E14*'Metric Coefficients'!E36)+('Metric Coefficients'!E15*'Metric Coefficients'!E37)+('Metric Coefficients'!E16*'Metric Coefficients'!E38),0)</f>
        <v>10</v>
      </c>
      <c r="H32" s="143">
        <v>10</v>
      </c>
      <c r="I32" s="109"/>
      <c r="J32" s="109"/>
      <c r="K32" s="109"/>
      <c r="L32" s="109"/>
      <c r="M32" s="150" t="s">
        <v>158</v>
      </c>
      <c r="N32" s="211">
        <v>0.3</v>
      </c>
      <c r="O32" s="143">
        <v>1</v>
      </c>
      <c r="P32" s="110"/>
    </row>
    <row r="33" spans="2:16" ht="15.75" thickBot="1">
      <c r="B33" s="108"/>
      <c r="C33" s="149" t="s">
        <v>23</v>
      </c>
      <c r="D33" s="215">
        <v>1</v>
      </c>
      <c r="E33" s="140"/>
      <c r="F33" s="149" t="s">
        <v>26</v>
      </c>
      <c r="G33" s="147">
        <f>IFERROR(('Metric Coefficients'!E17*'Metric Coefficients'!E39)+('Metric Coefficients'!E18*'Metric Coefficients'!E40)+('Metric Coefficients'!E19*'Metric Coefficients'!E41)+('Metric Coefficients'!E20*'Metric Coefficients'!E42)+('Metric Coefficients'!E21*'Metric Coefficients'!E43),0)</f>
        <v>10</v>
      </c>
      <c r="H33" s="146">
        <v>10</v>
      </c>
      <c r="I33" s="109"/>
      <c r="J33" s="109"/>
      <c r="K33" s="109"/>
      <c r="L33" s="109"/>
      <c r="M33" s="152" t="s">
        <v>159</v>
      </c>
      <c r="N33" s="212">
        <v>0.85</v>
      </c>
      <c r="O33" s="146">
        <v>1</v>
      </c>
      <c r="P33" s="110"/>
    </row>
    <row r="34" spans="2:16" ht="15.75" thickBot="1">
      <c r="B34" s="108"/>
      <c r="C34" s="140"/>
      <c r="D34" s="140"/>
      <c r="E34" s="140"/>
      <c r="F34" s="140"/>
      <c r="G34" s="144"/>
      <c r="H34" s="144"/>
      <c r="I34" s="109"/>
      <c r="J34" s="109"/>
      <c r="K34" s="109"/>
      <c r="L34" s="109"/>
      <c r="M34" s="140"/>
      <c r="N34" s="140"/>
      <c r="O34" s="140"/>
      <c r="P34" s="110"/>
    </row>
    <row r="35" spans="2:16" ht="15.75" thickBot="1">
      <c r="B35" s="108"/>
      <c r="C35" s="140"/>
      <c r="D35" s="140"/>
      <c r="E35" s="140"/>
      <c r="F35" s="166" t="s">
        <v>34</v>
      </c>
      <c r="G35" s="167" t="s">
        <v>24</v>
      </c>
      <c r="H35" s="168" t="s">
        <v>25</v>
      </c>
      <c r="I35" s="109"/>
      <c r="J35" s="109"/>
      <c r="K35" s="109"/>
      <c r="L35" s="109"/>
      <c r="M35" s="252" t="s">
        <v>58</v>
      </c>
      <c r="N35" s="253"/>
      <c r="O35" s="254"/>
      <c r="P35" s="110"/>
    </row>
    <row r="36" spans="2:16" ht="15.75" thickBot="1">
      <c r="B36" s="108"/>
      <c r="C36" s="140"/>
      <c r="D36" s="140"/>
      <c r="E36" s="140"/>
      <c r="F36" s="170" t="s">
        <v>16</v>
      </c>
      <c r="G36" s="220">
        <f>IFERROR(('Metric Coefficients'!J7*'Metric Coefficients'!E29)+('Metric Coefficients'!J9*'Metric Coefficients'!E31),0)</f>
        <v>2.3571428571428572</v>
      </c>
      <c r="H36" s="160">
        <v>10</v>
      </c>
      <c r="I36" s="109"/>
      <c r="J36" s="231" t="s">
        <v>35</v>
      </c>
      <c r="K36" s="232"/>
      <c r="L36" s="109"/>
      <c r="M36" s="171" t="s">
        <v>28</v>
      </c>
      <c r="N36" s="172">
        <f>IF(M$35="July - Max", 'LME Demand'!C7, IF(M$35="July - Upper", 'LME Demand'!D7, IF(M$35="July - Average", 'LME Demand'!E7, IF(M$35="July - Lower", 'LME Demand'!F7, IF(M$35="December - Max", 'LME Demand'!I7, IF(M$35="December - Upper", 'LME Demand'!J7, IF(M$35="December - Average", 'LME Demand'!K7, IF(M$35="December - Lower", 'LME Demand'!L7,""))))))))</f>
        <v>11331.75</v>
      </c>
      <c r="O36" s="173" t="s">
        <v>115</v>
      </c>
      <c r="P36" s="110"/>
    </row>
    <row r="37" spans="2:16" ht="15.75" thickBot="1">
      <c r="B37" s="108"/>
      <c r="C37" s="140"/>
      <c r="D37" s="140"/>
      <c r="E37" s="140"/>
      <c r="F37" s="148" t="s">
        <v>17</v>
      </c>
      <c r="G37" s="153">
        <f>IFERROR(('Metric Coefficients'!J10*'Metric Coefficients'!E32)+('Metric Coefficients'!J11*'Metric Coefficients'!E33)+('Metric Coefficients'!J12*'Metric Coefficients'!E34),0)</f>
        <v>10</v>
      </c>
      <c r="H37" s="143">
        <v>10</v>
      </c>
      <c r="I37" s="109"/>
      <c r="J37" s="169" t="s">
        <v>36</v>
      </c>
      <c r="K37" s="160">
        <f>IF(FLType="Heat Pump Water Heater",'Sample Load Data'!B5,IF(FLType="Electric Resistance Water Heater",'Sample Load Data'!B6,IF(FLType="HVAC",'Sample Load Data'!B8,IF(FLType="EV Charger",'Sample Load Data'!B10,IF(FLType="Dryer",'Sample Load Data'!B9,IF(FLType="Generic",'Sample Load Data'!B5,0))))))</f>
        <v>815920</v>
      </c>
      <c r="L37" s="109"/>
      <c r="M37" s="144"/>
      <c r="N37" s="144"/>
      <c r="O37" s="140"/>
      <c r="P37" s="110"/>
    </row>
    <row r="38" spans="2:16">
      <c r="B38" s="108"/>
      <c r="C38" s="140"/>
      <c r="D38" s="140"/>
      <c r="E38" s="140"/>
      <c r="F38" s="148" t="s">
        <v>10</v>
      </c>
      <c r="G38" s="153">
        <f>IFERROR(('Metric Coefficients'!J13*'Metric Coefficients'!E35)+('Metric Coefficients'!J14*'Metric Coefficients'!E36)+('Metric Coefficients'!J15*'Metric Coefficients'!E37)+('Metric Coefficients'!J16*'Metric Coefficients'!E38),0)</f>
        <v>10</v>
      </c>
      <c r="H38" s="143">
        <v>10</v>
      </c>
      <c r="I38" s="109"/>
      <c r="J38" s="150" t="s">
        <v>37</v>
      </c>
      <c r="K38" s="151">
        <f>IFERROR((K39*K37),0)</f>
        <v>410407.76</v>
      </c>
      <c r="L38" s="109"/>
      <c r="M38" s="216" t="s">
        <v>29</v>
      </c>
      <c r="N38" s="226">
        <v>0.5</v>
      </c>
      <c r="O38" s="140"/>
      <c r="P38" s="110"/>
    </row>
    <row r="39" spans="2:16" ht="15.75" thickBot="1">
      <c r="B39" s="108"/>
      <c r="C39" s="140"/>
      <c r="D39" s="140"/>
      <c r="E39" s="140"/>
      <c r="F39" s="149" t="s">
        <v>26</v>
      </c>
      <c r="G39" s="147">
        <f>IFERROR(('Metric Coefficients'!J17*'Metric Coefficients'!E39)+('Metric Coefficients'!J18*'Metric Coefficients'!E40)+('Metric Coefficients'!J19*'Metric Coefficients'!E41)+('Metric Coefficients'!J20*'Metric Coefficients'!E42)+('Metric Coefficients'!J21*'Metric Coefficients'!E43),0)</f>
        <v>10</v>
      </c>
      <c r="H39" s="146">
        <v>10</v>
      </c>
      <c r="I39" s="109"/>
      <c r="J39" s="152" t="s">
        <v>157</v>
      </c>
      <c r="K39" s="146">
        <f>IF(FLType="Heat Pump Water Heater",'Sample Load Data'!C5,IF(FLType="Electric Resistance Water Heater",'Sample Load Data'!C6,IF(FLType="HVAC",'Sample Load Data'!C7,IF(FLType="EV Charger",'Sample Load Data'!C10,IF(FLType="Dryer",'Sample Load Data'!C8,IF(FLType="Generic",'Sample Load Data'!C5,0))))))</f>
        <v>0.503</v>
      </c>
      <c r="L39" s="109"/>
      <c r="M39" s="217" t="s">
        <v>30</v>
      </c>
      <c r="N39" s="229">
        <f>N38+TIME(0,N40,0)</f>
        <v>0.58333333333333337</v>
      </c>
      <c r="O39" s="140"/>
      <c r="P39" s="110"/>
    </row>
    <row r="40" spans="2:16">
      <c r="B40" s="108"/>
      <c r="C40" s="109"/>
      <c r="D40" s="109"/>
      <c r="E40" s="140"/>
      <c r="F40" s="109"/>
      <c r="G40" s="109"/>
      <c r="H40" s="109"/>
      <c r="I40" s="109"/>
      <c r="J40" s="109"/>
      <c r="K40" s="109"/>
      <c r="L40" s="109"/>
      <c r="M40" s="217" t="s">
        <v>31</v>
      </c>
      <c r="N40" s="224">
        <v>120</v>
      </c>
      <c r="O40" s="140"/>
      <c r="P40" s="110"/>
    </row>
    <row r="41" spans="2:16" ht="15.75" thickBot="1">
      <c r="B41" s="108"/>
      <c r="C41" s="109"/>
      <c r="D41" s="109"/>
      <c r="E41" s="109"/>
      <c r="F41" s="109"/>
      <c r="G41" s="109"/>
      <c r="H41" s="109"/>
      <c r="I41" s="109"/>
      <c r="J41" s="109"/>
      <c r="K41" s="109"/>
      <c r="L41" s="109"/>
      <c r="M41" s="218" t="s">
        <v>32</v>
      </c>
      <c r="N41" s="219">
        <v>1</v>
      </c>
      <c r="O41" s="140"/>
      <c r="P41" s="110"/>
    </row>
    <row r="42" spans="2:16" ht="15.75" thickBot="1">
      <c r="B42" s="108"/>
      <c r="C42" s="230"/>
      <c r="D42" s="230"/>
      <c r="E42" s="109"/>
      <c r="F42" s="109"/>
      <c r="G42" s="109"/>
      <c r="H42" s="109"/>
      <c r="I42" s="109"/>
      <c r="J42" s="109"/>
      <c r="K42" s="109"/>
      <c r="L42" s="109"/>
      <c r="M42" s="101"/>
      <c r="N42" s="101"/>
      <c r="O42" s="109"/>
      <c r="P42" s="110"/>
    </row>
    <row r="43" spans="2:16">
      <c r="B43" s="108"/>
      <c r="C43" s="230"/>
      <c r="D43" s="230"/>
      <c r="E43" s="109"/>
      <c r="F43" s="109"/>
      <c r="G43" s="109"/>
      <c r="H43" s="109"/>
      <c r="I43" s="255" t="s">
        <v>59</v>
      </c>
      <c r="J43" s="256"/>
      <c r="K43" s="109"/>
      <c r="L43" s="109"/>
      <c r="M43" s="245"/>
      <c r="N43" s="245"/>
      <c r="O43" s="109"/>
      <c r="P43" s="110"/>
    </row>
    <row r="44" spans="2:16" ht="24.75" thickBot="1">
      <c r="B44" s="108"/>
      <c r="C44" s="139"/>
      <c r="D44" s="139"/>
      <c r="E44" s="109"/>
      <c r="F44" s="109"/>
      <c r="G44" s="109"/>
      <c r="H44" s="109"/>
      <c r="I44" s="257"/>
      <c r="J44" s="258"/>
      <c r="K44" s="109"/>
      <c r="L44" s="109"/>
      <c r="M44" s="101"/>
      <c r="N44" s="101"/>
      <c r="O44" s="109"/>
      <c r="P44" s="110"/>
    </row>
    <row r="45" spans="2:16" ht="15.75" thickBot="1">
      <c r="B45" s="108"/>
      <c r="C45" s="109"/>
      <c r="D45" s="109"/>
      <c r="E45" s="109"/>
      <c r="F45" s="109"/>
      <c r="G45" s="109"/>
      <c r="H45" s="140"/>
      <c r="I45" s="109"/>
      <c r="J45" s="109"/>
      <c r="K45" s="109"/>
      <c r="L45" s="109"/>
      <c r="M45" s="109"/>
      <c r="N45" s="109"/>
      <c r="O45" s="109"/>
      <c r="P45" s="110"/>
    </row>
    <row r="46" spans="2:16" ht="15.75" thickBot="1">
      <c r="B46" s="108"/>
      <c r="C46" s="207" t="s">
        <v>52</v>
      </c>
      <c r="D46" s="210" t="s">
        <v>53</v>
      </c>
      <c r="E46" s="109"/>
      <c r="F46" s="207" t="s">
        <v>27</v>
      </c>
      <c r="G46" s="210" t="s">
        <v>53</v>
      </c>
      <c r="H46" s="140"/>
      <c r="I46" s="140"/>
      <c r="J46" s="207" t="s">
        <v>154</v>
      </c>
      <c r="K46" s="259" t="s">
        <v>155</v>
      </c>
      <c r="L46" s="260"/>
      <c r="M46" s="141"/>
      <c r="N46" s="207" t="s">
        <v>56</v>
      </c>
      <c r="O46" s="210" t="s">
        <v>57</v>
      </c>
      <c r="P46" s="110"/>
    </row>
    <row r="47" spans="2:16">
      <c r="B47" s="108"/>
      <c r="C47" s="206" t="s">
        <v>54</v>
      </c>
      <c r="D47" s="208">
        <f>IFERROR((D30*G30)+(D31*G31)+(D32*G32)+(D33*G33),0)</f>
        <v>89.428571428571431</v>
      </c>
      <c r="E47" s="140"/>
      <c r="F47" s="206" t="s">
        <v>54</v>
      </c>
      <c r="G47" s="208">
        <f>IFERROR((D47*N30*N32*K39),0)</f>
        <v>0.67473857142857141</v>
      </c>
      <c r="H47" s="140"/>
      <c r="I47" s="140"/>
      <c r="J47" s="206" t="s">
        <v>54</v>
      </c>
      <c r="K47" s="261">
        <f>IFERROR(((N30*O9*K38*N32*N33*(N40/60))/1000),0)</f>
        <v>4.7094290460000003</v>
      </c>
      <c r="L47" s="262"/>
      <c r="M47" s="144"/>
      <c r="N47" s="206" t="s">
        <v>54</v>
      </c>
      <c r="O47" s="208">
        <f>IFERROR(((K47/N36)*100),0)</f>
        <v>4.1559591819445366E-2</v>
      </c>
      <c r="P47" s="110"/>
    </row>
    <row r="48" spans="2:16" ht="15.75" thickBot="1">
      <c r="B48" s="108"/>
      <c r="C48" s="145" t="s">
        <v>55</v>
      </c>
      <c r="D48" s="209">
        <f>IFERROR((D30*G36)+(D31*G37)+(D32*G38)+(D33*G39),0)</f>
        <v>69.428571428571431</v>
      </c>
      <c r="E48" s="140"/>
      <c r="F48" s="145" t="s">
        <v>55</v>
      </c>
      <c r="G48" s="209">
        <f>IFERROR((D48*N31*N32*K39),0)</f>
        <v>1.7221120404765677</v>
      </c>
      <c r="H48" s="140"/>
      <c r="I48" s="140"/>
      <c r="J48" s="145" t="s">
        <v>55</v>
      </c>
      <c r="K48" s="263">
        <f>IFERROR(((N31*O10*K38*N32*N33*(N40/60))/1000), 0)</f>
        <v>15.482182691834382</v>
      </c>
      <c r="L48" s="264"/>
      <c r="M48" s="144"/>
      <c r="N48" s="145" t="s">
        <v>55</v>
      </c>
      <c r="O48" s="209">
        <f>IFERROR(((K48/N36)*100),0)</f>
        <v>0.13662658187688911</v>
      </c>
      <c r="P48" s="110"/>
    </row>
    <row r="49" spans="2:16" ht="15.75" thickBot="1">
      <c r="B49" s="128"/>
      <c r="C49" s="129"/>
      <c r="D49" s="129"/>
      <c r="E49" s="129"/>
      <c r="F49" s="129"/>
      <c r="G49" s="129"/>
      <c r="H49" s="129"/>
      <c r="I49" s="129"/>
      <c r="J49" s="129"/>
      <c r="K49" s="129"/>
      <c r="L49" s="129"/>
      <c r="M49" s="129"/>
      <c r="N49" s="129"/>
      <c r="O49" s="129"/>
      <c r="P49" s="130"/>
    </row>
  </sheetData>
  <mergeCells count="20">
    <mergeCell ref="I43:J44"/>
    <mergeCell ref="K46:L46"/>
    <mergeCell ref="K47:L47"/>
    <mergeCell ref="K48:L48"/>
    <mergeCell ref="C42:D43"/>
    <mergeCell ref="C29:D29"/>
    <mergeCell ref="I5:K5"/>
    <mergeCell ref="M5:O5"/>
    <mergeCell ref="M6:O6"/>
    <mergeCell ref="M7:O7"/>
    <mergeCell ref="I6:K6"/>
    <mergeCell ref="I7:K7"/>
    <mergeCell ref="M43:N43"/>
    <mergeCell ref="M18:M22"/>
    <mergeCell ref="M14:M17"/>
    <mergeCell ref="M8:M10"/>
    <mergeCell ref="M11:M13"/>
    <mergeCell ref="M35:O35"/>
    <mergeCell ref="I25:J26"/>
    <mergeCell ref="J36:K36"/>
  </mergeCells>
  <conditionalFormatting sqref="G30">
    <cfRule type="expression" dxfId="7" priority="8" stopIfTrue="1">
      <formula>$G$30 &gt; 10</formula>
    </cfRule>
  </conditionalFormatting>
  <conditionalFormatting sqref="G31">
    <cfRule type="expression" dxfId="6" priority="7">
      <formula>$G$31 &gt; 10</formula>
    </cfRule>
  </conditionalFormatting>
  <conditionalFormatting sqref="G32">
    <cfRule type="expression" dxfId="5" priority="6">
      <formula>$G$32 &gt; 10</formula>
    </cfRule>
  </conditionalFormatting>
  <conditionalFormatting sqref="G33">
    <cfRule type="expression" dxfId="4" priority="5">
      <formula>$G$33 &gt; 10</formula>
    </cfRule>
  </conditionalFormatting>
  <conditionalFormatting sqref="G36">
    <cfRule type="expression" dxfId="3" priority="4">
      <formula>$G$36&gt;10</formula>
    </cfRule>
  </conditionalFormatting>
  <conditionalFormatting sqref="G37">
    <cfRule type="expression" dxfId="2" priority="3">
      <formula>$G$37&gt;10</formula>
    </cfRule>
  </conditionalFormatting>
  <conditionalFormatting sqref="G38">
    <cfRule type="expression" dxfId="1" priority="2">
      <formula>$G$38&gt;10</formula>
    </cfRule>
  </conditionalFormatting>
  <conditionalFormatting sqref="G39">
    <cfRule type="expression" dxfId="0" priority="1">
      <formula>$G$39&gt;10</formula>
    </cfRule>
  </conditionalFormatting>
  <dataValidations count="1">
    <dataValidation type="list" allowBlank="1" showInputMessage="1" showErrorMessage="1" sqref="M35:O35" xr:uid="{19380CE7-26EB-4DF9-8E89-3E3753340033}">
      <formula1>"LME Demand, July - Max,July - Upper,July - Average,July - Lower,December - Max,December - Upper,December - Average,December - Lower"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1" r:id="rId3" name="OCHRE Button">
              <controlPr defaultSize="0" print="0" autoFill="0" autoPict="0" macro="[0]!RunOCHRE">
                <anchor moveWithCells="1" sizeWithCells="1">
                  <from>
                    <xdr:col>8</xdr:col>
                    <xdr:colOff>304800</xdr:colOff>
                    <xdr:row>27</xdr:row>
                    <xdr:rowOff>161925</xdr:rowOff>
                  </from>
                  <to>
                    <xdr:col>10</xdr:col>
                    <xdr:colOff>495300</xdr:colOff>
                    <xdr:row>32</xdr:row>
                    <xdr:rowOff>180975</xdr:rowOff>
                  </to>
                </anchor>
              </controlPr>
            </control>
          </mc:Choice>
        </mc:AlternateContent>
        <mc:AlternateContent xmlns:mc="http://schemas.openxmlformats.org/markup-compatibility/2006">
          <mc:Choice Requires="x14">
            <control shapeId="1052" r:id="rId4" name="Button 28">
              <controlPr defaultSize="0" print="0" autoFill="0" autoPict="0" macro="[0]!ImportFlexLoad">
                <anchor moveWithCells="1">
                  <from>
                    <xdr:col>7</xdr:col>
                    <xdr:colOff>295275</xdr:colOff>
                    <xdr:row>17</xdr:row>
                    <xdr:rowOff>171450</xdr:rowOff>
                  </from>
                  <to>
                    <xdr:col>10</xdr:col>
                    <xdr:colOff>438150</xdr:colOff>
                    <xdr:row>21</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E3FCBEA-A50B-4D7E-A514-701F42BECA74}">
          <x14:formula1>
            <xm:f>Lookup!$K$3:$K$10</xm:f>
          </x14:formula1>
          <xm:sqref>I6:K6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A9959-EEC6-4EAA-9EDE-21ACBBE25C2D}">
  <dimension ref="A1:B2"/>
  <sheetViews>
    <sheetView workbookViewId="0">
      <selection activeCell="B7" sqref="B7"/>
    </sheetView>
  </sheetViews>
  <sheetFormatPr defaultRowHeight="15"/>
  <cols>
    <col min="1" max="1" width="17.42578125" bestFit="1" customWidth="1"/>
    <col min="2" max="2" width="55.28515625" bestFit="1" customWidth="1"/>
  </cols>
  <sheetData>
    <row r="1" spans="1:2">
      <c r="A1" t="s">
        <v>178</v>
      </c>
      <c r="B1" t="s">
        <v>181</v>
      </c>
    </row>
    <row r="2" spans="1:2">
      <c r="A2" t="s">
        <v>179</v>
      </c>
      <c r="B2" t="s">
        <v>180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A3449-6FB0-431C-B793-586487E17551}">
  <sheetPr codeName="Sheet4"/>
  <dimension ref="C3:K149"/>
  <sheetViews>
    <sheetView workbookViewId="0">
      <selection activeCell="H8" sqref="H8"/>
    </sheetView>
  </sheetViews>
  <sheetFormatPr defaultRowHeight="15"/>
  <cols>
    <col min="3" max="3" width="29.85546875" bestFit="1" customWidth="1"/>
    <col min="4" max="4" width="8.42578125" bestFit="1" customWidth="1"/>
    <col min="5" max="5" width="21.42578125" bestFit="1" customWidth="1"/>
    <col min="6" max="6" width="34.42578125" bestFit="1" customWidth="1"/>
    <col min="7" max="7" width="8.5703125" bestFit="1" customWidth="1"/>
    <col min="11" max="11" width="29.85546875" bestFit="1" customWidth="1"/>
  </cols>
  <sheetData>
    <row r="3" spans="3:11">
      <c r="C3" t="s">
        <v>116</v>
      </c>
      <c r="D3" t="s">
        <v>117</v>
      </c>
      <c r="E3" t="s">
        <v>38</v>
      </c>
      <c r="F3" t="s">
        <v>39</v>
      </c>
      <c r="G3" t="s">
        <v>40</v>
      </c>
      <c r="K3" t="s">
        <v>116</v>
      </c>
    </row>
    <row r="4" spans="3:11">
      <c r="C4" t="s">
        <v>2</v>
      </c>
      <c r="D4">
        <v>1</v>
      </c>
      <c r="E4" t="s">
        <v>41</v>
      </c>
      <c r="F4" t="s">
        <v>118</v>
      </c>
      <c r="G4">
        <v>0.45</v>
      </c>
      <c r="K4" s="10" t="s">
        <v>2</v>
      </c>
    </row>
    <row r="5" spans="3:11">
      <c r="C5" t="s">
        <v>2</v>
      </c>
      <c r="D5">
        <v>2</v>
      </c>
      <c r="E5" t="s">
        <v>42</v>
      </c>
      <c r="F5" t="s">
        <v>119</v>
      </c>
      <c r="G5">
        <v>4.5</v>
      </c>
      <c r="K5" s="10" t="s">
        <v>126</v>
      </c>
    </row>
    <row r="6" spans="3:11">
      <c r="C6" t="s">
        <v>2</v>
      </c>
      <c r="D6">
        <v>3</v>
      </c>
      <c r="E6" t="s">
        <v>170</v>
      </c>
      <c r="F6" t="s">
        <v>172</v>
      </c>
      <c r="G6">
        <v>0.45</v>
      </c>
      <c r="K6" s="10" t="s">
        <v>127</v>
      </c>
    </row>
    <row r="7" spans="3:11">
      <c r="C7" t="s">
        <v>2</v>
      </c>
      <c r="D7">
        <v>4</v>
      </c>
      <c r="E7" t="s">
        <v>171</v>
      </c>
      <c r="F7" t="s">
        <v>173</v>
      </c>
      <c r="G7">
        <v>0.45</v>
      </c>
      <c r="K7" s="11" t="s">
        <v>128</v>
      </c>
    </row>
    <row r="8" spans="3:11">
      <c r="C8" t="s">
        <v>2</v>
      </c>
      <c r="D8">
        <v>5</v>
      </c>
      <c r="E8" t="s">
        <v>43</v>
      </c>
      <c r="F8" t="s">
        <v>46</v>
      </c>
      <c r="G8">
        <v>46</v>
      </c>
      <c r="K8" s="10" t="s">
        <v>77</v>
      </c>
    </row>
    <row r="9" spans="3:11">
      <c r="C9" t="s">
        <v>2</v>
      </c>
      <c r="D9">
        <v>6</v>
      </c>
      <c r="E9" t="s">
        <v>120</v>
      </c>
      <c r="F9" t="s">
        <v>121</v>
      </c>
      <c r="G9">
        <v>150</v>
      </c>
      <c r="K9" s="11" t="s">
        <v>129</v>
      </c>
    </row>
    <row r="10" spans="3:11">
      <c r="C10" t="s">
        <v>2</v>
      </c>
      <c r="D10">
        <v>7</v>
      </c>
      <c r="E10" t="s">
        <v>122</v>
      </c>
      <c r="F10" t="s">
        <v>123</v>
      </c>
      <c r="G10">
        <v>95</v>
      </c>
      <c r="K10" s="10" t="s">
        <v>130</v>
      </c>
    </row>
    <row r="11" spans="3:11">
      <c r="C11" t="s">
        <v>2</v>
      </c>
      <c r="D11">
        <v>8</v>
      </c>
      <c r="E11" t="s">
        <v>124</v>
      </c>
      <c r="F11" t="s">
        <v>47</v>
      </c>
      <c r="G11">
        <v>3.45</v>
      </c>
    </row>
    <row r="12" spans="3:11">
      <c r="C12" t="s">
        <v>2</v>
      </c>
      <c r="D12">
        <v>9</v>
      </c>
      <c r="E12" t="s">
        <v>45</v>
      </c>
      <c r="F12" t="s">
        <v>48</v>
      </c>
      <c r="G12" s="100">
        <v>2</v>
      </c>
    </row>
    <row r="13" spans="3:11">
      <c r="C13" t="s">
        <v>2</v>
      </c>
      <c r="D13">
        <v>10</v>
      </c>
      <c r="E13" t="s">
        <v>125</v>
      </c>
      <c r="F13" t="s">
        <v>49</v>
      </c>
      <c r="G13">
        <v>120</v>
      </c>
    </row>
    <row r="14" spans="3:11">
      <c r="C14" t="s">
        <v>2</v>
      </c>
      <c r="D14">
        <v>11</v>
      </c>
      <c r="E14" t="s">
        <v>44</v>
      </c>
      <c r="F14" t="s">
        <v>50</v>
      </c>
      <c r="G14">
        <v>120</v>
      </c>
    </row>
    <row r="15" spans="3:11">
      <c r="C15" t="s">
        <v>2</v>
      </c>
      <c r="D15">
        <v>12</v>
      </c>
      <c r="E15" t="s">
        <v>164</v>
      </c>
      <c r="F15" t="s">
        <v>11</v>
      </c>
      <c r="G15" s="187" t="s">
        <v>51</v>
      </c>
    </row>
    <row r="16" spans="3:11">
      <c r="C16" t="s">
        <v>2</v>
      </c>
      <c r="D16">
        <v>13</v>
      </c>
      <c r="E16" t="s">
        <v>165</v>
      </c>
      <c r="F16" t="s">
        <v>13</v>
      </c>
      <c r="G16" s="187" t="s">
        <v>51</v>
      </c>
    </row>
    <row r="17" spans="3:7">
      <c r="C17" t="s">
        <v>2</v>
      </c>
      <c r="D17">
        <v>14</v>
      </c>
      <c r="E17" t="s">
        <v>166</v>
      </c>
      <c r="F17" t="s">
        <v>14</v>
      </c>
      <c r="G17" s="187" t="s">
        <v>51</v>
      </c>
    </row>
    <row r="18" spans="3:7">
      <c r="C18" t="s">
        <v>2</v>
      </c>
      <c r="D18">
        <v>15</v>
      </c>
      <c r="E18" t="s">
        <v>167</v>
      </c>
      <c r="F18" t="s">
        <v>15</v>
      </c>
      <c r="G18" s="187" t="s">
        <v>51</v>
      </c>
    </row>
    <row r="19" spans="3:7">
      <c r="C19" t="s">
        <v>2</v>
      </c>
      <c r="D19">
        <v>16</v>
      </c>
      <c r="E19" t="s">
        <v>168</v>
      </c>
      <c r="F19" t="s">
        <v>12</v>
      </c>
      <c r="G19" s="187" t="s">
        <v>51</v>
      </c>
    </row>
    <row r="20" spans="3:7">
      <c r="C20" t="s">
        <v>2</v>
      </c>
      <c r="D20">
        <v>17</v>
      </c>
      <c r="E20" t="s">
        <v>160</v>
      </c>
      <c r="F20" t="s">
        <v>163</v>
      </c>
      <c r="G20" s="187" t="s">
        <v>51</v>
      </c>
    </row>
    <row r="21" spans="3:7">
      <c r="C21" t="s">
        <v>2</v>
      </c>
      <c r="D21">
        <v>18</v>
      </c>
      <c r="E21" t="s">
        <v>7</v>
      </c>
      <c r="F21" t="s">
        <v>7</v>
      </c>
      <c r="G21" s="187" t="s">
        <v>51</v>
      </c>
    </row>
    <row r="22" spans="3:7">
      <c r="C22" t="s">
        <v>2</v>
      </c>
      <c r="D22">
        <v>19</v>
      </c>
      <c r="E22" t="s">
        <v>162</v>
      </c>
      <c r="F22" t="s">
        <v>8</v>
      </c>
      <c r="G22" s="187" t="s">
        <v>51</v>
      </c>
    </row>
    <row r="23" spans="3:7">
      <c r="C23" t="s">
        <v>2</v>
      </c>
      <c r="D23">
        <v>20</v>
      </c>
      <c r="E23" t="s">
        <v>161</v>
      </c>
      <c r="F23" t="s">
        <v>9</v>
      </c>
      <c r="G23" s="187" t="s">
        <v>51</v>
      </c>
    </row>
    <row r="24" spans="3:7">
      <c r="G24" s="187"/>
    </row>
    <row r="25" spans="3:7">
      <c r="C25" t="s">
        <v>126</v>
      </c>
      <c r="D25">
        <v>1</v>
      </c>
      <c r="E25" t="s">
        <v>41</v>
      </c>
      <c r="F25" t="s">
        <v>118</v>
      </c>
      <c r="G25">
        <v>0.45</v>
      </c>
    </row>
    <row r="26" spans="3:7">
      <c r="C26" t="s">
        <v>126</v>
      </c>
      <c r="D26">
        <v>2</v>
      </c>
      <c r="E26" t="s">
        <v>42</v>
      </c>
      <c r="F26" t="s">
        <v>119</v>
      </c>
      <c r="G26">
        <v>4.5</v>
      </c>
    </row>
    <row r="27" spans="3:7">
      <c r="C27" t="s">
        <v>126</v>
      </c>
      <c r="D27">
        <v>3</v>
      </c>
      <c r="E27" t="s">
        <v>170</v>
      </c>
      <c r="F27" t="s">
        <v>172</v>
      </c>
      <c r="G27">
        <v>0.45</v>
      </c>
    </row>
    <row r="28" spans="3:7">
      <c r="C28" t="s">
        <v>126</v>
      </c>
      <c r="D28">
        <v>4</v>
      </c>
      <c r="E28" t="s">
        <v>171</v>
      </c>
      <c r="F28" t="s">
        <v>173</v>
      </c>
      <c r="G28">
        <v>0</v>
      </c>
    </row>
    <row r="29" spans="3:7">
      <c r="C29" t="s">
        <v>126</v>
      </c>
      <c r="D29">
        <v>5</v>
      </c>
      <c r="E29" t="s">
        <v>43</v>
      </c>
      <c r="F29" t="s">
        <v>46</v>
      </c>
      <c r="G29">
        <v>46</v>
      </c>
    </row>
    <row r="30" spans="3:7">
      <c r="C30" t="s">
        <v>126</v>
      </c>
      <c r="D30">
        <v>6</v>
      </c>
      <c r="E30" t="s">
        <v>120</v>
      </c>
      <c r="F30" t="s">
        <v>121</v>
      </c>
      <c r="G30">
        <v>150</v>
      </c>
    </row>
    <row r="31" spans="3:7">
      <c r="C31" t="s">
        <v>126</v>
      </c>
      <c r="D31">
        <v>7</v>
      </c>
      <c r="E31" t="s">
        <v>122</v>
      </c>
      <c r="F31" t="s">
        <v>123</v>
      </c>
      <c r="G31">
        <v>95</v>
      </c>
    </row>
    <row r="32" spans="3:7">
      <c r="C32" t="s">
        <v>126</v>
      </c>
      <c r="D32">
        <v>8</v>
      </c>
      <c r="E32" t="s">
        <v>124</v>
      </c>
      <c r="F32" t="s">
        <v>47</v>
      </c>
      <c r="G32">
        <v>3.45</v>
      </c>
    </row>
    <row r="33" spans="3:7">
      <c r="C33" t="s">
        <v>126</v>
      </c>
      <c r="D33">
        <v>9</v>
      </c>
      <c r="E33" t="s">
        <v>45</v>
      </c>
      <c r="F33" t="s">
        <v>48</v>
      </c>
      <c r="G33">
        <v>2</v>
      </c>
    </row>
    <row r="34" spans="3:7">
      <c r="C34" t="s">
        <v>126</v>
      </c>
      <c r="D34">
        <v>10</v>
      </c>
      <c r="E34" t="s">
        <v>125</v>
      </c>
      <c r="F34" t="s">
        <v>49</v>
      </c>
      <c r="G34">
        <v>30</v>
      </c>
    </row>
    <row r="35" spans="3:7">
      <c r="C35" t="s">
        <v>126</v>
      </c>
      <c r="D35">
        <v>11</v>
      </c>
      <c r="E35" t="s">
        <v>44</v>
      </c>
      <c r="F35" t="s">
        <v>50</v>
      </c>
      <c r="G35">
        <v>120</v>
      </c>
    </row>
    <row r="36" spans="3:7">
      <c r="C36" t="s">
        <v>126</v>
      </c>
      <c r="D36">
        <v>12</v>
      </c>
      <c r="E36" t="s">
        <v>164</v>
      </c>
      <c r="F36" t="s">
        <v>11</v>
      </c>
      <c r="G36" s="187" t="s">
        <v>51</v>
      </c>
    </row>
    <row r="37" spans="3:7">
      <c r="C37" t="s">
        <v>126</v>
      </c>
      <c r="D37">
        <v>13</v>
      </c>
      <c r="E37" t="s">
        <v>165</v>
      </c>
      <c r="F37" t="s">
        <v>13</v>
      </c>
      <c r="G37" s="187" t="s">
        <v>51</v>
      </c>
    </row>
    <row r="38" spans="3:7">
      <c r="C38" t="s">
        <v>126</v>
      </c>
      <c r="D38">
        <v>14</v>
      </c>
      <c r="E38" t="s">
        <v>166</v>
      </c>
      <c r="F38" t="s">
        <v>14</v>
      </c>
      <c r="G38" s="187" t="s">
        <v>51</v>
      </c>
    </row>
    <row r="39" spans="3:7">
      <c r="C39" t="s">
        <v>126</v>
      </c>
      <c r="D39">
        <v>15</v>
      </c>
      <c r="E39" t="s">
        <v>167</v>
      </c>
      <c r="F39" t="s">
        <v>15</v>
      </c>
      <c r="G39" s="187" t="s">
        <v>51</v>
      </c>
    </row>
    <row r="40" spans="3:7">
      <c r="C40" t="s">
        <v>126</v>
      </c>
      <c r="D40">
        <v>16</v>
      </c>
      <c r="E40" t="s">
        <v>168</v>
      </c>
      <c r="F40" t="s">
        <v>12</v>
      </c>
      <c r="G40" s="187" t="s">
        <v>51</v>
      </c>
    </row>
    <row r="41" spans="3:7">
      <c r="C41" t="s">
        <v>126</v>
      </c>
      <c r="D41">
        <v>17</v>
      </c>
      <c r="E41" t="s">
        <v>160</v>
      </c>
      <c r="F41" t="s">
        <v>163</v>
      </c>
      <c r="G41" s="187" t="s">
        <v>51</v>
      </c>
    </row>
    <row r="42" spans="3:7">
      <c r="C42" t="s">
        <v>126</v>
      </c>
      <c r="D42">
        <v>18</v>
      </c>
      <c r="E42" t="s">
        <v>7</v>
      </c>
      <c r="F42" t="s">
        <v>7</v>
      </c>
      <c r="G42" s="187" t="s">
        <v>51</v>
      </c>
    </row>
    <row r="43" spans="3:7">
      <c r="C43" t="s">
        <v>126</v>
      </c>
      <c r="D43">
        <v>19</v>
      </c>
      <c r="E43" t="s">
        <v>162</v>
      </c>
      <c r="F43" t="s">
        <v>8</v>
      </c>
      <c r="G43" s="187" t="s">
        <v>51</v>
      </c>
    </row>
    <row r="44" spans="3:7">
      <c r="C44" t="s">
        <v>126</v>
      </c>
      <c r="D44">
        <v>20</v>
      </c>
      <c r="E44" t="s">
        <v>161</v>
      </c>
      <c r="F44" t="s">
        <v>9</v>
      </c>
      <c r="G44" s="187" t="s">
        <v>51</v>
      </c>
    </row>
    <row r="45" spans="3:7">
      <c r="G45" s="187"/>
    </row>
    <row r="46" spans="3:7">
      <c r="C46" t="s">
        <v>127</v>
      </c>
      <c r="D46">
        <v>1</v>
      </c>
      <c r="E46" t="s">
        <v>41</v>
      </c>
      <c r="F46" t="s">
        <v>118</v>
      </c>
      <c r="G46" s="97">
        <v>1</v>
      </c>
    </row>
    <row r="47" spans="3:7">
      <c r="C47" t="s">
        <v>127</v>
      </c>
      <c r="D47">
        <v>2</v>
      </c>
      <c r="E47" t="s">
        <v>42</v>
      </c>
      <c r="F47" t="s">
        <v>119</v>
      </c>
      <c r="G47" s="97">
        <v>1</v>
      </c>
    </row>
    <row r="48" spans="3:7">
      <c r="C48" t="s">
        <v>127</v>
      </c>
      <c r="D48">
        <v>3</v>
      </c>
      <c r="E48" t="s">
        <v>170</v>
      </c>
      <c r="F48" t="s">
        <v>172</v>
      </c>
      <c r="G48">
        <v>0.45</v>
      </c>
    </row>
    <row r="49" spans="3:7">
      <c r="C49" t="s">
        <v>127</v>
      </c>
      <c r="D49">
        <v>4</v>
      </c>
      <c r="E49" t="s">
        <v>171</v>
      </c>
      <c r="F49" t="s">
        <v>173</v>
      </c>
      <c r="G49">
        <v>0</v>
      </c>
    </row>
    <row r="50" spans="3:7">
      <c r="C50" t="s">
        <v>127</v>
      </c>
      <c r="D50">
        <v>5</v>
      </c>
      <c r="E50" t="s">
        <v>43</v>
      </c>
      <c r="F50" t="s">
        <v>46</v>
      </c>
      <c r="G50" s="97">
        <v>1</v>
      </c>
    </row>
    <row r="51" spans="3:7">
      <c r="C51" t="s">
        <v>127</v>
      </c>
      <c r="D51">
        <v>6</v>
      </c>
      <c r="E51" t="s">
        <v>120</v>
      </c>
      <c r="F51" t="s">
        <v>121</v>
      </c>
      <c r="G51" s="97">
        <v>1</v>
      </c>
    </row>
    <row r="52" spans="3:7">
      <c r="C52" t="s">
        <v>127</v>
      </c>
      <c r="D52">
        <v>7</v>
      </c>
      <c r="E52" t="s">
        <v>122</v>
      </c>
      <c r="F52" t="s">
        <v>123</v>
      </c>
      <c r="G52" s="97">
        <v>1</v>
      </c>
    </row>
    <row r="53" spans="3:7">
      <c r="C53" t="s">
        <v>127</v>
      </c>
      <c r="D53">
        <v>8</v>
      </c>
      <c r="E53" t="s">
        <v>124</v>
      </c>
      <c r="F53" t="s">
        <v>47</v>
      </c>
      <c r="G53" s="97">
        <v>1</v>
      </c>
    </row>
    <row r="54" spans="3:7">
      <c r="C54" t="s">
        <v>127</v>
      </c>
      <c r="D54">
        <v>9</v>
      </c>
      <c r="E54" t="s">
        <v>45</v>
      </c>
      <c r="F54" t="s">
        <v>48</v>
      </c>
      <c r="G54" s="97">
        <v>1</v>
      </c>
    </row>
    <row r="55" spans="3:7">
      <c r="C55" t="s">
        <v>127</v>
      </c>
      <c r="D55">
        <v>10</v>
      </c>
      <c r="E55" t="s">
        <v>125</v>
      </c>
      <c r="F55" t="s">
        <v>49</v>
      </c>
      <c r="G55" s="97">
        <v>1</v>
      </c>
    </row>
    <row r="56" spans="3:7">
      <c r="C56" t="s">
        <v>127</v>
      </c>
      <c r="D56">
        <v>11</v>
      </c>
      <c r="E56" t="s">
        <v>44</v>
      </c>
      <c r="F56" t="s">
        <v>50</v>
      </c>
      <c r="G56" s="97">
        <v>1</v>
      </c>
    </row>
    <row r="57" spans="3:7">
      <c r="C57" t="s">
        <v>127</v>
      </c>
      <c r="D57">
        <v>12</v>
      </c>
      <c r="E57" t="s">
        <v>164</v>
      </c>
      <c r="F57" t="s">
        <v>11</v>
      </c>
      <c r="G57" s="187" t="s">
        <v>169</v>
      </c>
    </row>
    <row r="58" spans="3:7">
      <c r="C58" t="s">
        <v>127</v>
      </c>
      <c r="D58">
        <v>13</v>
      </c>
      <c r="E58" t="s">
        <v>165</v>
      </c>
      <c r="F58" t="s">
        <v>13</v>
      </c>
      <c r="G58" s="187" t="s">
        <v>169</v>
      </c>
    </row>
    <row r="59" spans="3:7">
      <c r="C59" t="s">
        <v>127</v>
      </c>
      <c r="D59">
        <v>14</v>
      </c>
      <c r="E59" t="s">
        <v>166</v>
      </c>
      <c r="F59" t="s">
        <v>14</v>
      </c>
      <c r="G59" s="187" t="s">
        <v>169</v>
      </c>
    </row>
    <row r="60" spans="3:7">
      <c r="C60" t="s">
        <v>127</v>
      </c>
      <c r="D60">
        <v>15</v>
      </c>
      <c r="E60" t="s">
        <v>167</v>
      </c>
      <c r="F60" t="s">
        <v>15</v>
      </c>
      <c r="G60" s="187" t="s">
        <v>169</v>
      </c>
    </row>
    <row r="61" spans="3:7">
      <c r="C61" t="s">
        <v>127</v>
      </c>
      <c r="D61">
        <v>16</v>
      </c>
      <c r="E61" t="s">
        <v>168</v>
      </c>
      <c r="F61" t="s">
        <v>12</v>
      </c>
      <c r="G61" s="187" t="s">
        <v>169</v>
      </c>
    </row>
    <row r="62" spans="3:7">
      <c r="C62" t="s">
        <v>127</v>
      </c>
      <c r="D62">
        <v>17</v>
      </c>
      <c r="E62" t="s">
        <v>160</v>
      </c>
      <c r="F62" t="s">
        <v>163</v>
      </c>
      <c r="G62" s="187" t="s">
        <v>169</v>
      </c>
    </row>
    <row r="63" spans="3:7">
      <c r="C63" t="s">
        <v>127</v>
      </c>
      <c r="D63">
        <v>18</v>
      </c>
      <c r="E63" t="s">
        <v>7</v>
      </c>
      <c r="F63" t="s">
        <v>7</v>
      </c>
      <c r="G63" s="187" t="s">
        <v>169</v>
      </c>
    </row>
    <row r="64" spans="3:7">
      <c r="C64" t="s">
        <v>127</v>
      </c>
      <c r="D64">
        <v>19</v>
      </c>
      <c r="E64" t="s">
        <v>162</v>
      </c>
      <c r="F64" t="s">
        <v>8</v>
      </c>
      <c r="G64" s="187" t="s">
        <v>169</v>
      </c>
    </row>
    <row r="65" spans="3:7">
      <c r="C65" t="s">
        <v>127</v>
      </c>
      <c r="D65">
        <v>20</v>
      </c>
      <c r="E65" t="s">
        <v>161</v>
      </c>
      <c r="F65" t="s">
        <v>9</v>
      </c>
      <c r="G65" s="187" t="s">
        <v>169</v>
      </c>
    </row>
    <row r="66" spans="3:7">
      <c r="G66" s="187"/>
    </row>
    <row r="67" spans="3:7">
      <c r="C67" t="s">
        <v>128</v>
      </c>
      <c r="D67">
        <v>1</v>
      </c>
      <c r="E67" t="s">
        <v>41</v>
      </c>
      <c r="F67" t="s">
        <v>118</v>
      </c>
      <c r="G67" s="97">
        <v>1</v>
      </c>
    </row>
    <row r="68" spans="3:7">
      <c r="C68" t="s">
        <v>128</v>
      </c>
      <c r="D68">
        <v>2</v>
      </c>
      <c r="E68" t="s">
        <v>42</v>
      </c>
      <c r="F68" t="s">
        <v>119</v>
      </c>
      <c r="G68" s="97">
        <v>1</v>
      </c>
    </row>
    <row r="69" spans="3:7">
      <c r="C69" t="s">
        <v>128</v>
      </c>
      <c r="D69">
        <v>3</v>
      </c>
      <c r="E69" t="s">
        <v>170</v>
      </c>
      <c r="F69" t="s">
        <v>172</v>
      </c>
      <c r="G69">
        <v>0.45</v>
      </c>
    </row>
    <row r="70" spans="3:7">
      <c r="C70" t="s">
        <v>128</v>
      </c>
      <c r="D70">
        <v>4</v>
      </c>
      <c r="E70" t="s">
        <v>171</v>
      </c>
      <c r="F70" t="s">
        <v>173</v>
      </c>
      <c r="G70">
        <v>0</v>
      </c>
    </row>
    <row r="71" spans="3:7">
      <c r="C71" t="s">
        <v>128</v>
      </c>
      <c r="D71">
        <v>5</v>
      </c>
      <c r="E71" t="s">
        <v>43</v>
      </c>
      <c r="F71" t="s">
        <v>46</v>
      </c>
      <c r="G71" s="97">
        <v>1</v>
      </c>
    </row>
    <row r="72" spans="3:7">
      <c r="C72" t="s">
        <v>128</v>
      </c>
      <c r="D72">
        <v>6</v>
      </c>
      <c r="E72" t="s">
        <v>120</v>
      </c>
      <c r="F72" t="s">
        <v>121</v>
      </c>
      <c r="G72" s="97">
        <v>1</v>
      </c>
    </row>
    <row r="73" spans="3:7">
      <c r="C73" t="s">
        <v>128</v>
      </c>
      <c r="D73">
        <v>7</v>
      </c>
      <c r="E73" t="s">
        <v>122</v>
      </c>
      <c r="F73" t="s">
        <v>123</v>
      </c>
      <c r="G73" s="97">
        <v>1</v>
      </c>
    </row>
    <row r="74" spans="3:7">
      <c r="C74" t="s">
        <v>128</v>
      </c>
      <c r="D74">
        <v>8</v>
      </c>
      <c r="E74" t="s">
        <v>124</v>
      </c>
      <c r="F74" t="s">
        <v>47</v>
      </c>
      <c r="G74" s="97">
        <v>1</v>
      </c>
    </row>
    <row r="75" spans="3:7">
      <c r="C75" t="s">
        <v>128</v>
      </c>
      <c r="D75">
        <v>9</v>
      </c>
      <c r="E75" t="s">
        <v>45</v>
      </c>
      <c r="F75" t="s">
        <v>48</v>
      </c>
      <c r="G75" s="97">
        <v>1</v>
      </c>
    </row>
    <row r="76" spans="3:7">
      <c r="C76" t="s">
        <v>128</v>
      </c>
      <c r="D76">
        <v>10</v>
      </c>
      <c r="E76" t="s">
        <v>125</v>
      </c>
      <c r="F76" t="s">
        <v>49</v>
      </c>
      <c r="G76" s="97">
        <v>1</v>
      </c>
    </row>
    <row r="77" spans="3:7">
      <c r="C77" t="s">
        <v>128</v>
      </c>
      <c r="D77">
        <v>11</v>
      </c>
      <c r="E77" t="s">
        <v>44</v>
      </c>
      <c r="F77" t="s">
        <v>50</v>
      </c>
      <c r="G77" s="97">
        <v>1</v>
      </c>
    </row>
    <row r="78" spans="3:7">
      <c r="C78" t="s">
        <v>128</v>
      </c>
      <c r="D78">
        <v>12</v>
      </c>
      <c r="E78" t="s">
        <v>164</v>
      </c>
      <c r="F78" t="s">
        <v>11</v>
      </c>
      <c r="G78" s="187" t="s">
        <v>51</v>
      </c>
    </row>
    <row r="79" spans="3:7">
      <c r="C79" t="s">
        <v>128</v>
      </c>
      <c r="D79">
        <v>13</v>
      </c>
      <c r="E79" t="s">
        <v>165</v>
      </c>
      <c r="F79" t="s">
        <v>13</v>
      </c>
      <c r="G79" s="187" t="s">
        <v>51</v>
      </c>
    </row>
    <row r="80" spans="3:7">
      <c r="C80" t="s">
        <v>128</v>
      </c>
      <c r="D80">
        <v>14</v>
      </c>
      <c r="E80" t="s">
        <v>166</v>
      </c>
      <c r="F80" t="s">
        <v>14</v>
      </c>
      <c r="G80" s="187" t="s">
        <v>51</v>
      </c>
    </row>
    <row r="81" spans="3:7">
      <c r="C81" t="s">
        <v>128</v>
      </c>
      <c r="D81">
        <v>15</v>
      </c>
      <c r="E81" t="s">
        <v>167</v>
      </c>
      <c r="F81" t="s">
        <v>15</v>
      </c>
      <c r="G81" s="187" t="s">
        <v>51</v>
      </c>
    </row>
    <row r="82" spans="3:7">
      <c r="C82" t="s">
        <v>128</v>
      </c>
      <c r="D82">
        <v>16</v>
      </c>
      <c r="E82" t="s">
        <v>168</v>
      </c>
      <c r="F82" t="s">
        <v>12</v>
      </c>
      <c r="G82" s="187" t="s">
        <v>51</v>
      </c>
    </row>
    <row r="83" spans="3:7">
      <c r="C83" t="s">
        <v>128</v>
      </c>
      <c r="D83">
        <v>17</v>
      </c>
      <c r="E83" t="s">
        <v>160</v>
      </c>
      <c r="F83" t="s">
        <v>163</v>
      </c>
      <c r="G83" s="187" t="s">
        <v>51</v>
      </c>
    </row>
    <row r="84" spans="3:7">
      <c r="C84" t="s">
        <v>128</v>
      </c>
      <c r="D84">
        <v>18</v>
      </c>
      <c r="E84" t="s">
        <v>7</v>
      </c>
      <c r="F84" t="s">
        <v>7</v>
      </c>
      <c r="G84" s="187" t="s">
        <v>51</v>
      </c>
    </row>
    <row r="85" spans="3:7">
      <c r="C85" t="s">
        <v>128</v>
      </c>
      <c r="D85">
        <v>19</v>
      </c>
      <c r="E85" t="s">
        <v>162</v>
      </c>
      <c r="F85" t="s">
        <v>8</v>
      </c>
      <c r="G85" s="187" t="s">
        <v>51</v>
      </c>
    </row>
    <row r="86" spans="3:7">
      <c r="C86" t="s">
        <v>128</v>
      </c>
      <c r="D86">
        <v>20</v>
      </c>
      <c r="E86" t="s">
        <v>161</v>
      </c>
      <c r="F86" t="s">
        <v>9</v>
      </c>
      <c r="G86" s="187" t="s">
        <v>51</v>
      </c>
    </row>
    <row r="87" spans="3:7">
      <c r="G87" s="187"/>
    </row>
    <row r="88" spans="3:7">
      <c r="C88" t="s">
        <v>77</v>
      </c>
      <c r="D88">
        <v>1</v>
      </c>
      <c r="E88" t="s">
        <v>41</v>
      </c>
      <c r="F88" t="s">
        <v>118</v>
      </c>
      <c r="G88" s="97">
        <v>1</v>
      </c>
    </row>
    <row r="89" spans="3:7">
      <c r="C89" t="s">
        <v>77</v>
      </c>
      <c r="D89">
        <v>2</v>
      </c>
      <c r="E89" t="s">
        <v>42</v>
      </c>
      <c r="F89" t="s">
        <v>119</v>
      </c>
      <c r="G89" s="97">
        <v>1</v>
      </c>
    </row>
    <row r="90" spans="3:7">
      <c r="C90" t="s">
        <v>77</v>
      </c>
      <c r="D90">
        <v>3</v>
      </c>
      <c r="E90" t="s">
        <v>170</v>
      </c>
      <c r="F90" t="s">
        <v>172</v>
      </c>
      <c r="G90">
        <v>0.45</v>
      </c>
    </row>
    <row r="91" spans="3:7">
      <c r="C91" t="s">
        <v>77</v>
      </c>
      <c r="D91">
        <v>4</v>
      </c>
      <c r="E91" t="s">
        <v>171</v>
      </c>
      <c r="F91" t="s">
        <v>173</v>
      </c>
      <c r="G91">
        <v>0</v>
      </c>
    </row>
    <row r="92" spans="3:7">
      <c r="C92" t="s">
        <v>77</v>
      </c>
      <c r="D92">
        <v>5</v>
      </c>
      <c r="E92" t="s">
        <v>43</v>
      </c>
      <c r="F92" t="s">
        <v>46</v>
      </c>
      <c r="G92" s="97">
        <v>1</v>
      </c>
    </row>
    <row r="93" spans="3:7">
      <c r="C93" t="s">
        <v>77</v>
      </c>
      <c r="D93">
        <v>6</v>
      </c>
      <c r="E93" t="s">
        <v>120</v>
      </c>
      <c r="F93" t="s">
        <v>121</v>
      </c>
      <c r="G93" s="97">
        <v>1</v>
      </c>
    </row>
    <row r="94" spans="3:7">
      <c r="C94" t="s">
        <v>77</v>
      </c>
      <c r="D94">
        <v>7</v>
      </c>
      <c r="E94" t="s">
        <v>122</v>
      </c>
      <c r="F94" t="s">
        <v>123</v>
      </c>
      <c r="G94" s="97">
        <v>1</v>
      </c>
    </row>
    <row r="95" spans="3:7">
      <c r="C95" t="s">
        <v>77</v>
      </c>
      <c r="D95">
        <v>8</v>
      </c>
      <c r="E95" t="s">
        <v>124</v>
      </c>
      <c r="F95" t="s">
        <v>47</v>
      </c>
      <c r="G95" s="97">
        <v>1</v>
      </c>
    </row>
    <row r="96" spans="3:7">
      <c r="C96" t="s">
        <v>77</v>
      </c>
      <c r="D96">
        <v>9</v>
      </c>
      <c r="E96" t="s">
        <v>45</v>
      </c>
      <c r="F96" t="s">
        <v>48</v>
      </c>
      <c r="G96" s="97">
        <v>1</v>
      </c>
    </row>
    <row r="97" spans="3:7">
      <c r="C97" t="s">
        <v>77</v>
      </c>
      <c r="D97">
        <v>10</v>
      </c>
      <c r="E97" t="s">
        <v>125</v>
      </c>
      <c r="F97" t="s">
        <v>49</v>
      </c>
      <c r="G97" s="97">
        <v>1</v>
      </c>
    </row>
    <row r="98" spans="3:7">
      <c r="C98" t="s">
        <v>77</v>
      </c>
      <c r="D98">
        <v>11</v>
      </c>
      <c r="E98" t="s">
        <v>44</v>
      </c>
      <c r="F98" t="s">
        <v>50</v>
      </c>
      <c r="G98" s="97">
        <v>1</v>
      </c>
    </row>
    <row r="99" spans="3:7">
      <c r="C99" t="s">
        <v>77</v>
      </c>
      <c r="D99">
        <v>12</v>
      </c>
      <c r="E99" t="s">
        <v>164</v>
      </c>
      <c r="F99" t="s">
        <v>11</v>
      </c>
      <c r="G99" s="187" t="s">
        <v>51</v>
      </c>
    </row>
    <row r="100" spans="3:7">
      <c r="C100" t="s">
        <v>77</v>
      </c>
      <c r="D100">
        <v>13</v>
      </c>
      <c r="E100" t="s">
        <v>165</v>
      </c>
      <c r="F100" t="s">
        <v>13</v>
      </c>
      <c r="G100" s="187" t="s">
        <v>51</v>
      </c>
    </row>
    <row r="101" spans="3:7">
      <c r="C101" t="s">
        <v>77</v>
      </c>
      <c r="D101">
        <v>14</v>
      </c>
      <c r="E101" t="s">
        <v>166</v>
      </c>
      <c r="F101" t="s">
        <v>14</v>
      </c>
      <c r="G101" s="187" t="s">
        <v>51</v>
      </c>
    </row>
    <row r="102" spans="3:7">
      <c r="C102" t="s">
        <v>77</v>
      </c>
      <c r="D102">
        <v>15</v>
      </c>
      <c r="E102" t="s">
        <v>167</v>
      </c>
      <c r="F102" t="s">
        <v>15</v>
      </c>
      <c r="G102" s="187" t="s">
        <v>51</v>
      </c>
    </row>
    <row r="103" spans="3:7">
      <c r="C103" t="s">
        <v>77</v>
      </c>
      <c r="D103">
        <v>16</v>
      </c>
      <c r="E103" t="s">
        <v>168</v>
      </c>
      <c r="F103" t="s">
        <v>12</v>
      </c>
      <c r="G103" s="187" t="s">
        <v>51</v>
      </c>
    </row>
    <row r="104" spans="3:7">
      <c r="C104" t="s">
        <v>77</v>
      </c>
      <c r="D104">
        <v>17</v>
      </c>
      <c r="E104" t="s">
        <v>160</v>
      </c>
      <c r="F104" t="s">
        <v>163</v>
      </c>
      <c r="G104" s="187" t="s">
        <v>51</v>
      </c>
    </row>
    <row r="105" spans="3:7">
      <c r="C105" t="s">
        <v>77</v>
      </c>
      <c r="D105">
        <v>18</v>
      </c>
      <c r="E105" t="s">
        <v>7</v>
      </c>
      <c r="F105" t="s">
        <v>7</v>
      </c>
      <c r="G105" s="187" t="s">
        <v>51</v>
      </c>
    </row>
    <row r="106" spans="3:7">
      <c r="C106" t="s">
        <v>77</v>
      </c>
      <c r="D106">
        <v>19</v>
      </c>
      <c r="E106" t="s">
        <v>162</v>
      </c>
      <c r="F106" t="s">
        <v>8</v>
      </c>
      <c r="G106" s="187" t="s">
        <v>51</v>
      </c>
    </row>
    <row r="107" spans="3:7">
      <c r="C107" t="s">
        <v>77</v>
      </c>
      <c r="D107">
        <v>20</v>
      </c>
      <c r="E107" t="s">
        <v>161</v>
      </c>
      <c r="F107" t="s">
        <v>9</v>
      </c>
      <c r="G107" s="187" t="s">
        <v>51</v>
      </c>
    </row>
    <row r="108" spans="3:7">
      <c r="G108" s="187"/>
    </row>
    <row r="109" spans="3:7">
      <c r="C109" t="s">
        <v>129</v>
      </c>
      <c r="D109">
        <v>1</v>
      </c>
      <c r="E109" t="s">
        <v>41</v>
      </c>
      <c r="F109" t="s">
        <v>118</v>
      </c>
      <c r="G109" s="97">
        <v>1</v>
      </c>
    </row>
    <row r="110" spans="3:7">
      <c r="C110" t="s">
        <v>129</v>
      </c>
      <c r="D110">
        <v>2</v>
      </c>
      <c r="E110" t="s">
        <v>42</v>
      </c>
      <c r="F110" t="s">
        <v>119</v>
      </c>
      <c r="G110" s="97">
        <v>1</v>
      </c>
    </row>
    <row r="111" spans="3:7">
      <c r="C111" t="s">
        <v>129</v>
      </c>
      <c r="D111">
        <v>3</v>
      </c>
      <c r="E111" t="s">
        <v>170</v>
      </c>
      <c r="F111" t="s">
        <v>172</v>
      </c>
      <c r="G111">
        <v>0.45</v>
      </c>
    </row>
    <row r="112" spans="3:7">
      <c r="C112" t="s">
        <v>129</v>
      </c>
      <c r="D112">
        <v>4</v>
      </c>
      <c r="E112" t="s">
        <v>171</v>
      </c>
      <c r="F112" t="s">
        <v>173</v>
      </c>
      <c r="G112">
        <v>0</v>
      </c>
    </row>
    <row r="113" spans="3:7">
      <c r="C113" t="s">
        <v>129</v>
      </c>
      <c r="D113">
        <v>5</v>
      </c>
      <c r="E113" t="s">
        <v>43</v>
      </c>
      <c r="F113" t="s">
        <v>46</v>
      </c>
      <c r="G113" s="97">
        <v>1</v>
      </c>
    </row>
    <row r="114" spans="3:7">
      <c r="C114" t="s">
        <v>129</v>
      </c>
      <c r="D114">
        <v>6</v>
      </c>
      <c r="E114" t="s">
        <v>120</v>
      </c>
      <c r="F114" t="s">
        <v>121</v>
      </c>
      <c r="G114" s="97">
        <v>1</v>
      </c>
    </row>
    <row r="115" spans="3:7">
      <c r="C115" t="s">
        <v>129</v>
      </c>
      <c r="D115">
        <v>7</v>
      </c>
      <c r="E115" t="s">
        <v>122</v>
      </c>
      <c r="F115" t="s">
        <v>123</v>
      </c>
      <c r="G115" s="97">
        <v>1</v>
      </c>
    </row>
    <row r="116" spans="3:7">
      <c r="C116" t="s">
        <v>129</v>
      </c>
      <c r="D116">
        <v>8</v>
      </c>
      <c r="E116" t="s">
        <v>124</v>
      </c>
      <c r="F116" t="s">
        <v>47</v>
      </c>
      <c r="G116" s="97">
        <v>1</v>
      </c>
    </row>
    <row r="117" spans="3:7">
      <c r="C117" t="s">
        <v>129</v>
      </c>
      <c r="D117">
        <v>9</v>
      </c>
      <c r="E117" t="s">
        <v>45</v>
      </c>
      <c r="F117" t="s">
        <v>48</v>
      </c>
      <c r="G117" s="97">
        <v>1</v>
      </c>
    </row>
    <row r="118" spans="3:7">
      <c r="C118" t="s">
        <v>129</v>
      </c>
      <c r="D118">
        <v>10</v>
      </c>
      <c r="E118" t="s">
        <v>125</v>
      </c>
      <c r="F118" t="s">
        <v>49</v>
      </c>
      <c r="G118" s="97">
        <v>1</v>
      </c>
    </row>
    <row r="119" spans="3:7">
      <c r="C119" t="s">
        <v>129</v>
      </c>
      <c r="D119">
        <v>11</v>
      </c>
      <c r="E119" t="s">
        <v>44</v>
      </c>
      <c r="F119" t="s">
        <v>50</v>
      </c>
      <c r="G119" s="97">
        <v>1</v>
      </c>
    </row>
    <row r="120" spans="3:7">
      <c r="C120" t="s">
        <v>129</v>
      </c>
      <c r="D120">
        <v>12</v>
      </c>
      <c r="E120" t="s">
        <v>164</v>
      </c>
      <c r="F120" t="s">
        <v>11</v>
      </c>
      <c r="G120" s="187" t="s">
        <v>51</v>
      </c>
    </row>
    <row r="121" spans="3:7">
      <c r="C121" t="s">
        <v>129</v>
      </c>
      <c r="D121">
        <v>13</v>
      </c>
      <c r="E121" t="s">
        <v>165</v>
      </c>
      <c r="F121" t="s">
        <v>13</v>
      </c>
      <c r="G121" s="187" t="s">
        <v>51</v>
      </c>
    </row>
    <row r="122" spans="3:7">
      <c r="C122" t="s">
        <v>129</v>
      </c>
      <c r="D122">
        <v>14</v>
      </c>
      <c r="E122" t="s">
        <v>166</v>
      </c>
      <c r="F122" t="s">
        <v>14</v>
      </c>
      <c r="G122" s="187" t="s">
        <v>51</v>
      </c>
    </row>
    <row r="123" spans="3:7">
      <c r="C123" t="s">
        <v>129</v>
      </c>
      <c r="D123">
        <v>15</v>
      </c>
      <c r="E123" t="s">
        <v>167</v>
      </c>
      <c r="F123" t="s">
        <v>15</v>
      </c>
      <c r="G123" s="187" t="s">
        <v>51</v>
      </c>
    </row>
    <row r="124" spans="3:7">
      <c r="C124" t="s">
        <v>129</v>
      </c>
      <c r="D124">
        <v>16</v>
      </c>
      <c r="E124" t="s">
        <v>168</v>
      </c>
      <c r="F124" t="s">
        <v>12</v>
      </c>
      <c r="G124" s="187" t="s">
        <v>51</v>
      </c>
    </row>
    <row r="125" spans="3:7">
      <c r="C125" t="s">
        <v>129</v>
      </c>
      <c r="D125">
        <v>17</v>
      </c>
      <c r="E125" t="s">
        <v>160</v>
      </c>
      <c r="F125" t="s">
        <v>163</v>
      </c>
      <c r="G125" s="187" t="s">
        <v>51</v>
      </c>
    </row>
    <row r="126" spans="3:7">
      <c r="C126" t="s">
        <v>129</v>
      </c>
      <c r="D126">
        <v>18</v>
      </c>
      <c r="E126" t="s">
        <v>7</v>
      </c>
      <c r="F126" t="s">
        <v>7</v>
      </c>
      <c r="G126" s="187" t="s">
        <v>51</v>
      </c>
    </row>
    <row r="127" spans="3:7">
      <c r="C127" t="s">
        <v>129</v>
      </c>
      <c r="D127">
        <v>19</v>
      </c>
      <c r="E127" t="s">
        <v>162</v>
      </c>
      <c r="F127" t="s">
        <v>8</v>
      </c>
      <c r="G127" s="187" t="s">
        <v>51</v>
      </c>
    </row>
    <row r="128" spans="3:7">
      <c r="C128" t="s">
        <v>129</v>
      </c>
      <c r="D128">
        <v>20</v>
      </c>
      <c r="E128" t="s">
        <v>161</v>
      </c>
      <c r="F128" t="s">
        <v>9</v>
      </c>
      <c r="G128" s="187" t="s">
        <v>51</v>
      </c>
    </row>
    <row r="129" spans="3:7">
      <c r="G129" s="187"/>
    </row>
    <row r="130" spans="3:7">
      <c r="C130" t="s">
        <v>130</v>
      </c>
      <c r="D130">
        <v>1</v>
      </c>
      <c r="E130" t="s">
        <v>41</v>
      </c>
      <c r="F130" t="s">
        <v>118</v>
      </c>
      <c r="G130" s="97">
        <v>1</v>
      </c>
    </row>
    <row r="131" spans="3:7">
      <c r="C131" t="s">
        <v>130</v>
      </c>
      <c r="D131">
        <v>2</v>
      </c>
      <c r="E131" t="s">
        <v>42</v>
      </c>
      <c r="F131" t="s">
        <v>119</v>
      </c>
      <c r="G131" s="97">
        <v>1</v>
      </c>
    </row>
    <row r="132" spans="3:7">
      <c r="C132" t="s">
        <v>130</v>
      </c>
      <c r="D132">
        <v>3</v>
      </c>
      <c r="E132" t="s">
        <v>170</v>
      </c>
      <c r="F132" t="s">
        <v>172</v>
      </c>
      <c r="G132">
        <v>0.45</v>
      </c>
    </row>
    <row r="133" spans="3:7">
      <c r="C133" t="s">
        <v>130</v>
      </c>
      <c r="D133">
        <v>4</v>
      </c>
      <c r="E133" t="s">
        <v>171</v>
      </c>
      <c r="F133" t="s">
        <v>173</v>
      </c>
      <c r="G133">
        <v>0</v>
      </c>
    </row>
    <row r="134" spans="3:7">
      <c r="C134" t="s">
        <v>130</v>
      </c>
      <c r="D134">
        <v>5</v>
      </c>
      <c r="E134" t="s">
        <v>43</v>
      </c>
      <c r="F134" t="s">
        <v>46</v>
      </c>
      <c r="G134" s="97">
        <v>1</v>
      </c>
    </row>
    <row r="135" spans="3:7">
      <c r="C135" t="s">
        <v>130</v>
      </c>
      <c r="D135">
        <v>6</v>
      </c>
      <c r="E135" t="s">
        <v>120</v>
      </c>
      <c r="F135" t="s">
        <v>121</v>
      </c>
      <c r="G135" s="97">
        <v>1</v>
      </c>
    </row>
    <row r="136" spans="3:7">
      <c r="C136" t="s">
        <v>130</v>
      </c>
      <c r="D136">
        <v>7</v>
      </c>
      <c r="E136" t="s">
        <v>122</v>
      </c>
      <c r="F136" t="s">
        <v>123</v>
      </c>
      <c r="G136" s="97">
        <v>1</v>
      </c>
    </row>
    <row r="137" spans="3:7">
      <c r="C137" t="s">
        <v>130</v>
      </c>
      <c r="D137">
        <v>8</v>
      </c>
      <c r="E137" t="s">
        <v>124</v>
      </c>
      <c r="F137" t="s">
        <v>47</v>
      </c>
      <c r="G137" s="97">
        <v>1</v>
      </c>
    </row>
    <row r="138" spans="3:7">
      <c r="C138" t="s">
        <v>130</v>
      </c>
      <c r="D138">
        <v>9</v>
      </c>
      <c r="E138" t="s">
        <v>45</v>
      </c>
      <c r="F138" t="s">
        <v>48</v>
      </c>
      <c r="G138" s="97">
        <v>1</v>
      </c>
    </row>
    <row r="139" spans="3:7">
      <c r="C139" t="s">
        <v>130</v>
      </c>
      <c r="D139">
        <v>10</v>
      </c>
      <c r="E139" t="s">
        <v>125</v>
      </c>
      <c r="F139" t="s">
        <v>49</v>
      </c>
      <c r="G139" s="97">
        <v>1</v>
      </c>
    </row>
    <row r="140" spans="3:7">
      <c r="C140" t="s">
        <v>130</v>
      </c>
      <c r="D140">
        <v>11</v>
      </c>
      <c r="E140" t="s">
        <v>44</v>
      </c>
      <c r="F140" t="s">
        <v>50</v>
      </c>
      <c r="G140" s="97">
        <v>1</v>
      </c>
    </row>
    <row r="141" spans="3:7">
      <c r="C141" t="s">
        <v>130</v>
      </c>
      <c r="D141">
        <v>12</v>
      </c>
      <c r="E141" t="s">
        <v>164</v>
      </c>
      <c r="F141" t="s">
        <v>11</v>
      </c>
      <c r="G141" s="187" t="s">
        <v>51</v>
      </c>
    </row>
    <row r="142" spans="3:7">
      <c r="C142" t="s">
        <v>130</v>
      </c>
      <c r="D142">
        <v>13</v>
      </c>
      <c r="E142" t="s">
        <v>165</v>
      </c>
      <c r="F142" t="s">
        <v>13</v>
      </c>
      <c r="G142" s="187" t="s">
        <v>51</v>
      </c>
    </row>
    <row r="143" spans="3:7">
      <c r="C143" t="s">
        <v>130</v>
      </c>
      <c r="D143">
        <v>14</v>
      </c>
      <c r="E143" t="s">
        <v>166</v>
      </c>
      <c r="F143" t="s">
        <v>14</v>
      </c>
      <c r="G143" s="187" t="s">
        <v>51</v>
      </c>
    </row>
    <row r="144" spans="3:7">
      <c r="C144" t="s">
        <v>130</v>
      </c>
      <c r="D144">
        <v>15</v>
      </c>
      <c r="E144" t="s">
        <v>167</v>
      </c>
      <c r="F144" t="s">
        <v>15</v>
      </c>
      <c r="G144" s="187" t="s">
        <v>51</v>
      </c>
    </row>
    <row r="145" spans="3:7">
      <c r="C145" t="s">
        <v>130</v>
      </c>
      <c r="D145">
        <v>16</v>
      </c>
      <c r="E145" t="s">
        <v>168</v>
      </c>
      <c r="F145" t="s">
        <v>12</v>
      </c>
      <c r="G145" s="187" t="s">
        <v>51</v>
      </c>
    </row>
    <row r="146" spans="3:7">
      <c r="C146" t="s">
        <v>130</v>
      </c>
      <c r="D146">
        <v>17</v>
      </c>
      <c r="E146" t="s">
        <v>160</v>
      </c>
      <c r="F146" t="s">
        <v>163</v>
      </c>
      <c r="G146" s="187" t="s">
        <v>51</v>
      </c>
    </row>
    <row r="147" spans="3:7">
      <c r="C147" t="s">
        <v>130</v>
      </c>
      <c r="D147">
        <v>18</v>
      </c>
      <c r="E147" t="s">
        <v>7</v>
      </c>
      <c r="F147" t="s">
        <v>7</v>
      </c>
      <c r="G147" s="187" t="s">
        <v>51</v>
      </c>
    </row>
    <row r="148" spans="3:7">
      <c r="C148" t="s">
        <v>130</v>
      </c>
      <c r="D148">
        <v>19</v>
      </c>
      <c r="E148" t="s">
        <v>162</v>
      </c>
      <c r="F148" t="s">
        <v>8</v>
      </c>
      <c r="G148" s="187" t="s">
        <v>51</v>
      </c>
    </row>
    <row r="149" spans="3:7">
      <c r="C149" t="s">
        <v>130</v>
      </c>
      <c r="D149">
        <v>20</v>
      </c>
      <c r="E149" t="s">
        <v>161</v>
      </c>
      <c r="F149" t="s">
        <v>9</v>
      </c>
      <c r="G149" s="187" t="s">
        <v>51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B4710-3A2D-4799-A76F-99AC7E2C5DF5}">
  <sheetPr codeName="Sheet5"/>
  <dimension ref="B1:K44"/>
  <sheetViews>
    <sheetView topLeftCell="A3" workbookViewId="0">
      <selection activeCell="H30" sqref="H30"/>
    </sheetView>
  </sheetViews>
  <sheetFormatPr defaultRowHeight="15"/>
  <cols>
    <col min="1" max="2" width="3.7109375" customWidth="1"/>
    <col min="3" max="3" width="15.140625" bestFit="1" customWidth="1"/>
    <col min="4" max="4" width="35.7109375" customWidth="1"/>
    <col min="5" max="5" width="13.7109375" customWidth="1"/>
    <col min="6" max="7" width="3.7109375" customWidth="1"/>
    <col min="8" max="8" width="15.140625" bestFit="1" customWidth="1"/>
    <col min="9" max="9" width="35.7109375" customWidth="1"/>
    <col min="10" max="10" width="13.7109375" customWidth="1"/>
    <col min="11" max="12" width="3.7109375" customWidth="1"/>
    <col min="13" max="13" width="15.140625" bestFit="1" customWidth="1"/>
    <col min="14" max="14" width="35.7109375" customWidth="1"/>
    <col min="15" max="15" width="13.7109375" customWidth="1"/>
    <col min="16" max="16" width="3.7109375" customWidth="1"/>
  </cols>
  <sheetData>
    <row r="1" spans="2:11" ht="15.75" thickBot="1"/>
    <row r="2" spans="2:11">
      <c r="B2" s="105"/>
      <c r="C2" s="106"/>
      <c r="D2" s="106"/>
      <c r="E2" s="106"/>
      <c r="F2" s="106"/>
      <c r="G2" s="106"/>
      <c r="H2" s="106"/>
      <c r="I2" s="106"/>
      <c r="J2" s="106"/>
      <c r="K2" s="107"/>
    </row>
    <row r="3" spans="2:11">
      <c r="B3" s="108"/>
      <c r="C3" s="109"/>
      <c r="D3" s="109"/>
      <c r="E3" s="109"/>
      <c r="F3" s="109"/>
      <c r="G3" s="109"/>
      <c r="H3" s="109"/>
      <c r="I3" s="109"/>
      <c r="J3" s="109"/>
      <c r="K3" s="110"/>
    </row>
    <row r="4" spans="2:11">
      <c r="B4" s="108"/>
      <c r="C4" s="109"/>
      <c r="D4" s="109"/>
      <c r="E4" s="109"/>
      <c r="F4" s="109"/>
      <c r="G4" s="109"/>
      <c r="H4" s="109"/>
      <c r="I4" s="109"/>
      <c r="J4" s="109"/>
      <c r="K4" s="110"/>
    </row>
    <row r="5" spans="2:11" ht="15.75" thickBot="1">
      <c r="B5" s="108"/>
      <c r="C5" s="109"/>
      <c r="D5" s="109"/>
      <c r="E5" s="109"/>
      <c r="F5" s="109"/>
      <c r="G5" s="109"/>
      <c r="H5" s="109"/>
      <c r="I5" s="109"/>
      <c r="J5" s="109"/>
      <c r="K5" s="110"/>
    </row>
    <row r="6" spans="2:11" ht="15.75" thickBot="1">
      <c r="B6" s="108"/>
      <c r="C6" s="265" t="s">
        <v>148</v>
      </c>
      <c r="D6" s="266"/>
      <c r="E6" s="267"/>
      <c r="F6" s="111"/>
      <c r="G6" s="109"/>
      <c r="H6" s="268" t="s">
        <v>149</v>
      </c>
      <c r="I6" s="269"/>
      <c r="J6" s="270"/>
      <c r="K6" s="110"/>
    </row>
    <row r="7" spans="2:11" ht="15" customHeight="1">
      <c r="B7" s="108"/>
      <c r="C7" s="271" t="s">
        <v>16</v>
      </c>
      <c r="D7" s="121" t="s">
        <v>4</v>
      </c>
      <c r="E7" s="131">
        <f>IFERROR((Calculator!O8-'(Non)Ideal Flex Load'!J7)/('(Non)Ideal Flex Load'!E7-'(Non)Ideal Flex Load'!J7),0)</f>
        <v>0.47142857142857142</v>
      </c>
      <c r="F7" s="132"/>
      <c r="G7" s="133"/>
      <c r="H7" s="274" t="s">
        <v>16</v>
      </c>
      <c r="I7" s="121" t="s">
        <v>4</v>
      </c>
      <c r="J7" s="112">
        <f>IFERROR((Calculator!O8-'(Non)Ideal Flex Load'!J25)/('(Non)Ideal Flex Load'!E25-'(Non)Ideal Flex Load'!J25),0)</f>
        <v>0.47142857142857142</v>
      </c>
      <c r="K7" s="110"/>
    </row>
    <row r="8" spans="2:11">
      <c r="B8" s="108"/>
      <c r="C8" s="272"/>
      <c r="D8" s="122" t="s">
        <v>172</v>
      </c>
      <c r="E8" s="134">
        <f>IFERROR((Calculator!O9-'(Non)Ideal Flex Load'!J8)/('(Non)Ideal Flex Load'!E8-'(Non)Ideal Flex Load'!J8),0)</f>
        <v>1</v>
      </c>
      <c r="F8" s="115"/>
      <c r="G8" s="133"/>
      <c r="H8" s="275"/>
      <c r="I8" s="122"/>
      <c r="J8" s="114"/>
      <c r="K8" s="110"/>
    </row>
    <row r="9" spans="2:11" ht="15.75" thickBot="1">
      <c r="B9" s="108"/>
      <c r="C9" s="273"/>
      <c r="D9" s="123"/>
      <c r="E9" s="135"/>
      <c r="F9" s="115"/>
      <c r="G9" s="133"/>
      <c r="H9" s="276"/>
      <c r="I9" s="123" t="s">
        <v>173</v>
      </c>
      <c r="J9" s="116">
        <f>IFERROR((Calculator!O10-'(Non)Ideal Flex Load'!J27)/('(Non)Ideal Flex Load'!E27-'(Non)Ideal Flex Load'!J27),0)</f>
        <v>0</v>
      </c>
      <c r="K9" s="110"/>
    </row>
    <row r="10" spans="2:11">
      <c r="B10" s="108"/>
      <c r="C10" s="277" t="s">
        <v>17</v>
      </c>
      <c r="D10" s="124" t="s">
        <v>49</v>
      </c>
      <c r="E10" s="136">
        <f>IFERROR((Calculator!O11-'(Non)Ideal Flex Load'!J10)/('(Non)Ideal Flex Load'!E10-'(Non)Ideal Flex Load'!J10),0)</f>
        <v>1</v>
      </c>
      <c r="F10" s="115"/>
      <c r="G10" s="133"/>
      <c r="H10" s="278" t="s">
        <v>17</v>
      </c>
      <c r="I10" s="124" t="s">
        <v>49</v>
      </c>
      <c r="J10" s="117">
        <f>IFERROR((Calculator!O11-'(Non)Ideal Flex Load'!J28)/('(Non)Ideal Flex Load'!E28-'(Non)Ideal Flex Load'!J28),0)</f>
        <v>1</v>
      </c>
      <c r="K10" s="110"/>
    </row>
    <row r="11" spans="2:11">
      <c r="B11" s="108"/>
      <c r="C11" s="279"/>
      <c r="D11" s="125" t="s">
        <v>18</v>
      </c>
      <c r="E11" s="137">
        <f>IFERROR((Calculator!O12-'(Non)Ideal Flex Load'!J11)/('(Non)Ideal Flex Load'!E11-'(Non)Ideal Flex Load'!J11),0)</f>
        <v>1</v>
      </c>
      <c r="F11" s="119"/>
      <c r="G11" s="133"/>
      <c r="H11" s="281"/>
      <c r="I11" s="125" t="s">
        <v>18</v>
      </c>
      <c r="J11" s="118">
        <f>IFERROR((Calculator!O12-'(Non)Ideal Flex Load'!J29)/('(Non)Ideal Flex Load'!E29-'(Non)Ideal Flex Load'!J29),0)</f>
        <v>1</v>
      </c>
      <c r="K11" s="110"/>
    </row>
    <row r="12" spans="2:11" ht="15.75" thickBot="1">
      <c r="B12" s="108"/>
      <c r="C12" s="280"/>
      <c r="D12" s="126" t="s">
        <v>50</v>
      </c>
      <c r="E12" s="138">
        <f>IFERROR((Calculator!O13-'(Non)Ideal Flex Load'!J12)/('(Non)Ideal Flex Load'!E12-'(Non)Ideal Flex Load'!J12),0)</f>
        <v>1</v>
      </c>
      <c r="F12" s="115"/>
      <c r="G12" s="133"/>
      <c r="H12" s="282"/>
      <c r="I12" s="126" t="s">
        <v>50</v>
      </c>
      <c r="J12" s="120">
        <f>IFERROR((Calculator!O13-'(Non)Ideal Flex Load'!J30)/('(Non)Ideal Flex Load'!E30-'(Non)Ideal Flex Load'!J30),0)</f>
        <v>1</v>
      </c>
      <c r="K12" s="110"/>
    </row>
    <row r="13" spans="2:11">
      <c r="B13" s="108"/>
      <c r="C13" s="271" t="s">
        <v>10</v>
      </c>
      <c r="D13" s="121" t="s">
        <v>11</v>
      </c>
      <c r="E13" s="131">
        <f>IF(Calculator!O14='(Non)Ideal Flex Load'!E13, 1,0)</f>
        <v>1</v>
      </c>
      <c r="F13" s="115"/>
      <c r="G13" s="133"/>
      <c r="H13" s="274" t="s">
        <v>10</v>
      </c>
      <c r="I13" s="121" t="s">
        <v>11</v>
      </c>
      <c r="J13" s="112">
        <f>IF(Calculator!O14='(Non)Ideal Flex Load'!E31, 1,0)</f>
        <v>1</v>
      </c>
      <c r="K13" s="110"/>
    </row>
    <row r="14" spans="2:11">
      <c r="B14" s="108"/>
      <c r="C14" s="272"/>
      <c r="D14" s="122" t="s">
        <v>13</v>
      </c>
      <c r="E14" s="134">
        <f>IF(Calculator!O15='(Non)Ideal Flex Load'!E14, 1,0)</f>
        <v>1</v>
      </c>
      <c r="F14" s="115"/>
      <c r="G14" s="133"/>
      <c r="H14" s="275"/>
      <c r="I14" s="122" t="s">
        <v>13</v>
      </c>
      <c r="J14" s="114">
        <f>IF(Calculator!O15='(Non)Ideal Flex Load'!E32, 1,0)</f>
        <v>1</v>
      </c>
      <c r="K14" s="110"/>
    </row>
    <row r="15" spans="2:11">
      <c r="B15" s="108"/>
      <c r="C15" s="272"/>
      <c r="D15" s="122" t="s">
        <v>14</v>
      </c>
      <c r="E15" s="134">
        <f>IF(Calculator!O16='(Non)Ideal Flex Load'!E15, 1,0)</f>
        <v>1</v>
      </c>
      <c r="F15" s="115"/>
      <c r="G15" s="133"/>
      <c r="H15" s="275"/>
      <c r="I15" s="122" t="s">
        <v>14</v>
      </c>
      <c r="J15" s="114">
        <f>IF(Calculator!O16='(Non)Ideal Flex Load'!E33, 1,0)</f>
        <v>1</v>
      </c>
      <c r="K15" s="110"/>
    </row>
    <row r="16" spans="2:11" ht="15.75" thickBot="1">
      <c r="B16" s="108"/>
      <c r="C16" s="273"/>
      <c r="D16" s="123" t="s">
        <v>15</v>
      </c>
      <c r="E16" s="135">
        <f>IF(Calculator!O17='(Non)Ideal Flex Load'!E16, 1,0)</f>
        <v>1</v>
      </c>
      <c r="F16" s="115"/>
      <c r="G16" s="133"/>
      <c r="H16" s="276"/>
      <c r="I16" s="123" t="s">
        <v>15</v>
      </c>
      <c r="J16" s="116">
        <f>IF(Calculator!O17='(Non)Ideal Flex Load'!E34, 1,0)</f>
        <v>1</v>
      </c>
      <c r="K16" s="110"/>
    </row>
    <row r="17" spans="2:11">
      <c r="B17" s="108"/>
      <c r="C17" s="277" t="s">
        <v>5</v>
      </c>
      <c r="D17" s="124" t="s">
        <v>12</v>
      </c>
      <c r="E17" s="136">
        <f>IF(Calculator!O18='(Non)Ideal Flex Load'!E17, 1,0)</f>
        <v>1</v>
      </c>
      <c r="F17" s="115"/>
      <c r="G17" s="133"/>
      <c r="H17" s="278" t="s">
        <v>5</v>
      </c>
      <c r="I17" s="124" t="s">
        <v>12</v>
      </c>
      <c r="J17" s="117">
        <f>IF(Calculator!O18='(Non)Ideal Flex Load'!E35, 1,0)</f>
        <v>1</v>
      </c>
      <c r="K17" s="110"/>
    </row>
    <row r="18" spans="2:11">
      <c r="B18" s="108"/>
      <c r="C18" s="272"/>
      <c r="D18" s="122" t="s">
        <v>6</v>
      </c>
      <c r="E18" s="134">
        <f>IF(Calculator!O19='(Non)Ideal Flex Load'!E18, 1,0)</f>
        <v>1</v>
      </c>
      <c r="F18" s="115"/>
      <c r="G18" s="133"/>
      <c r="H18" s="275"/>
      <c r="I18" s="122" t="s">
        <v>6</v>
      </c>
      <c r="J18" s="114">
        <f>IF(Calculator!O19='(Non)Ideal Flex Load'!E36, 1,0)</f>
        <v>1</v>
      </c>
      <c r="K18" s="110"/>
    </row>
    <row r="19" spans="2:11">
      <c r="B19" s="108"/>
      <c r="C19" s="272"/>
      <c r="D19" s="122" t="s">
        <v>7</v>
      </c>
      <c r="E19" s="134">
        <f>IF(Calculator!O20='(Non)Ideal Flex Load'!E19, 1,0)</f>
        <v>1</v>
      </c>
      <c r="F19" s="115"/>
      <c r="G19" s="133"/>
      <c r="H19" s="275"/>
      <c r="I19" s="122" t="s">
        <v>7</v>
      </c>
      <c r="J19" s="114">
        <f>IF(Calculator!O20='(Non)Ideal Flex Load'!E37, 1,0)</f>
        <v>1</v>
      </c>
      <c r="K19" s="110"/>
    </row>
    <row r="20" spans="2:11">
      <c r="B20" s="108"/>
      <c r="C20" s="272"/>
      <c r="D20" s="122" t="s">
        <v>8</v>
      </c>
      <c r="E20" s="134">
        <f>IF(Calculator!O21='(Non)Ideal Flex Load'!E20, 1,0)</f>
        <v>1</v>
      </c>
      <c r="F20" s="115"/>
      <c r="G20" s="133"/>
      <c r="H20" s="275"/>
      <c r="I20" s="122" t="s">
        <v>8</v>
      </c>
      <c r="J20" s="114">
        <f>IF(Calculator!O21='(Non)Ideal Flex Load'!E38, 1,0)</f>
        <v>1</v>
      </c>
      <c r="K20" s="110"/>
    </row>
    <row r="21" spans="2:11" ht="15.75" thickBot="1">
      <c r="B21" s="108"/>
      <c r="C21" s="273"/>
      <c r="D21" s="123" t="s">
        <v>9</v>
      </c>
      <c r="E21" s="135">
        <f>IF(Calculator!O22='(Non)Ideal Flex Load'!E21, 1,0)</f>
        <v>1</v>
      </c>
      <c r="F21" s="115"/>
      <c r="G21" s="133"/>
      <c r="H21" s="276"/>
      <c r="I21" s="123" t="s">
        <v>9</v>
      </c>
      <c r="J21" s="116">
        <f>IF(Calculator!O22='(Non)Ideal Flex Load'!E39, 1,0)</f>
        <v>1</v>
      </c>
      <c r="K21" s="110"/>
    </row>
    <row r="22" spans="2:11">
      <c r="B22" s="108"/>
      <c r="C22" s="109"/>
      <c r="D22" s="109"/>
      <c r="E22" s="109"/>
      <c r="F22" s="109"/>
      <c r="G22" s="109"/>
      <c r="H22" s="109"/>
      <c r="I22" s="109"/>
      <c r="J22" s="109"/>
      <c r="K22" s="110"/>
    </row>
    <row r="23" spans="2:11">
      <c r="B23" s="108"/>
      <c r="C23" s="109"/>
      <c r="D23" s="109"/>
      <c r="E23" s="109"/>
      <c r="F23" s="109"/>
      <c r="G23" s="109"/>
      <c r="H23" s="109"/>
      <c r="I23" s="109"/>
      <c r="J23" s="109"/>
      <c r="K23" s="110"/>
    </row>
    <row r="24" spans="2:11">
      <c r="B24" s="108"/>
      <c r="C24" s="109"/>
      <c r="D24" s="109"/>
      <c r="E24" s="109"/>
      <c r="F24" s="109"/>
      <c r="G24" s="109"/>
      <c r="H24" s="109"/>
      <c r="I24" s="109"/>
      <c r="J24" s="109"/>
      <c r="K24" s="110"/>
    </row>
    <row r="25" spans="2:11">
      <c r="B25" s="108"/>
      <c r="C25" s="109"/>
      <c r="D25" s="109"/>
      <c r="E25" s="109"/>
      <c r="F25" s="109"/>
      <c r="G25" s="109"/>
      <c r="H25" s="109"/>
      <c r="I25" s="109"/>
      <c r="J25" s="109"/>
      <c r="K25" s="110"/>
    </row>
    <row r="26" spans="2:11">
      <c r="B26" s="108"/>
      <c r="C26" s="109"/>
      <c r="D26" s="109"/>
      <c r="E26" s="109"/>
      <c r="F26" s="109"/>
      <c r="G26" s="109"/>
      <c r="H26" s="109"/>
      <c r="I26" s="109"/>
      <c r="J26" s="109"/>
      <c r="K26" s="110"/>
    </row>
    <row r="27" spans="2:11" ht="15.75" thickBot="1">
      <c r="B27" s="108"/>
      <c r="C27" s="109"/>
      <c r="D27" s="109"/>
      <c r="E27" s="109"/>
      <c r="F27" s="109"/>
      <c r="G27" s="109"/>
      <c r="H27" s="109"/>
      <c r="I27" s="109"/>
      <c r="J27" s="109"/>
      <c r="K27" s="110"/>
    </row>
    <row r="28" spans="2:11" ht="15.75" thickBot="1">
      <c r="B28" s="108"/>
      <c r="C28" s="289" t="s">
        <v>132</v>
      </c>
      <c r="D28" s="290"/>
      <c r="E28" s="291"/>
      <c r="F28" s="109"/>
      <c r="G28" s="109"/>
      <c r="H28" s="109"/>
      <c r="I28" s="109"/>
      <c r="J28" s="109"/>
      <c r="K28" s="110"/>
    </row>
    <row r="29" spans="2:11">
      <c r="B29" s="108"/>
      <c r="C29" s="283" t="s">
        <v>16</v>
      </c>
      <c r="D29" s="121" t="s">
        <v>133</v>
      </c>
      <c r="E29" s="112">
        <v>5</v>
      </c>
      <c r="F29" s="109"/>
      <c r="G29" s="109"/>
      <c r="H29" s="109"/>
      <c r="I29" s="109"/>
      <c r="J29" s="109"/>
      <c r="K29" s="110"/>
    </row>
    <row r="30" spans="2:11">
      <c r="B30" s="108"/>
      <c r="C30" s="284"/>
      <c r="D30" s="122" t="s">
        <v>134</v>
      </c>
      <c r="E30" s="114">
        <v>5</v>
      </c>
      <c r="F30" s="109"/>
      <c r="G30" s="109"/>
      <c r="H30" s="109"/>
      <c r="I30" s="109"/>
      <c r="J30" s="109"/>
      <c r="K30" s="110"/>
    </row>
    <row r="31" spans="2:11" ht="15.75" thickBot="1">
      <c r="B31" s="108"/>
      <c r="C31" s="285"/>
      <c r="D31" s="123" t="s">
        <v>135</v>
      </c>
      <c r="E31" s="116">
        <v>5</v>
      </c>
      <c r="F31" s="109"/>
      <c r="G31" s="109"/>
      <c r="H31" s="109"/>
      <c r="I31" s="109"/>
      <c r="J31" s="109"/>
      <c r="K31" s="110"/>
    </row>
    <row r="32" spans="2:11">
      <c r="B32" s="108"/>
      <c r="C32" s="286" t="s">
        <v>17</v>
      </c>
      <c r="D32" s="124" t="s">
        <v>136</v>
      </c>
      <c r="E32" s="117">
        <v>4</v>
      </c>
      <c r="F32" s="109"/>
      <c r="G32" s="109"/>
      <c r="H32" s="109"/>
      <c r="I32" s="109"/>
      <c r="J32" s="109"/>
      <c r="K32" s="110"/>
    </row>
    <row r="33" spans="2:11">
      <c r="B33" s="108"/>
      <c r="C33" s="287"/>
      <c r="D33" s="125" t="s">
        <v>137</v>
      </c>
      <c r="E33" s="118">
        <v>3</v>
      </c>
      <c r="F33" s="109"/>
      <c r="G33" s="109"/>
      <c r="H33" s="109"/>
      <c r="I33" s="109"/>
      <c r="J33" s="109"/>
      <c r="K33" s="110"/>
    </row>
    <row r="34" spans="2:11" ht="15.75" thickBot="1">
      <c r="B34" s="108"/>
      <c r="C34" s="288"/>
      <c r="D34" s="126" t="s">
        <v>138</v>
      </c>
      <c r="E34" s="120">
        <v>3</v>
      </c>
      <c r="F34" s="109"/>
      <c r="G34" s="109"/>
      <c r="H34" s="109"/>
      <c r="I34" s="109"/>
      <c r="J34" s="109"/>
      <c r="K34" s="110"/>
    </row>
    <row r="35" spans="2:11">
      <c r="B35" s="108"/>
      <c r="C35" s="283" t="s">
        <v>10</v>
      </c>
      <c r="D35" s="121" t="s">
        <v>139</v>
      </c>
      <c r="E35" s="112">
        <v>3</v>
      </c>
      <c r="F35" s="109"/>
      <c r="G35" s="109"/>
      <c r="H35" s="109"/>
      <c r="I35" s="109"/>
      <c r="J35" s="109"/>
      <c r="K35" s="110"/>
    </row>
    <row r="36" spans="2:11">
      <c r="B36" s="108"/>
      <c r="C36" s="284"/>
      <c r="D36" s="122" t="s">
        <v>140</v>
      </c>
      <c r="E36" s="114">
        <v>2</v>
      </c>
      <c r="F36" s="109"/>
      <c r="G36" s="109"/>
      <c r="H36" s="109"/>
      <c r="I36" s="109"/>
      <c r="J36" s="109"/>
      <c r="K36" s="110"/>
    </row>
    <row r="37" spans="2:11">
      <c r="B37" s="108"/>
      <c r="C37" s="284"/>
      <c r="D37" s="122" t="s">
        <v>141</v>
      </c>
      <c r="E37" s="114">
        <v>3</v>
      </c>
      <c r="F37" s="109"/>
      <c r="G37" s="109"/>
      <c r="H37" s="109"/>
      <c r="I37" s="109"/>
      <c r="J37" s="109"/>
      <c r="K37" s="110"/>
    </row>
    <row r="38" spans="2:11" ht="15.75" thickBot="1">
      <c r="B38" s="108"/>
      <c r="C38" s="285"/>
      <c r="D38" s="123" t="s">
        <v>142</v>
      </c>
      <c r="E38" s="116">
        <v>2</v>
      </c>
      <c r="F38" s="109"/>
      <c r="G38" s="109"/>
      <c r="H38" s="109"/>
      <c r="I38" s="109"/>
      <c r="J38" s="109"/>
      <c r="K38" s="110"/>
    </row>
    <row r="39" spans="2:11">
      <c r="B39" s="108"/>
      <c r="C39" s="286" t="s">
        <v>5</v>
      </c>
      <c r="D39" s="124" t="s">
        <v>143</v>
      </c>
      <c r="E39" s="117">
        <v>2</v>
      </c>
      <c r="F39" s="109"/>
      <c r="G39" s="109"/>
      <c r="H39" s="109"/>
      <c r="I39" s="109"/>
      <c r="J39" s="109"/>
      <c r="K39" s="110"/>
    </row>
    <row r="40" spans="2:11">
      <c r="B40" s="108"/>
      <c r="C40" s="284"/>
      <c r="D40" s="122" t="s">
        <v>144</v>
      </c>
      <c r="E40" s="114">
        <v>2</v>
      </c>
      <c r="F40" s="109"/>
      <c r="G40" s="109"/>
      <c r="H40" s="109"/>
      <c r="I40" s="109"/>
      <c r="J40" s="109"/>
      <c r="K40" s="110"/>
    </row>
    <row r="41" spans="2:11">
      <c r="B41" s="108"/>
      <c r="C41" s="284"/>
      <c r="D41" s="122" t="s">
        <v>145</v>
      </c>
      <c r="E41" s="114">
        <v>2</v>
      </c>
      <c r="F41" s="109"/>
      <c r="G41" s="109"/>
      <c r="H41" s="109"/>
      <c r="I41" s="109"/>
      <c r="J41" s="109"/>
      <c r="K41" s="110"/>
    </row>
    <row r="42" spans="2:11">
      <c r="B42" s="108"/>
      <c r="C42" s="284"/>
      <c r="D42" s="122" t="s">
        <v>146</v>
      </c>
      <c r="E42" s="114">
        <v>2</v>
      </c>
      <c r="F42" s="109"/>
      <c r="G42" s="109"/>
      <c r="H42" s="109"/>
      <c r="I42" s="109"/>
      <c r="J42" s="109"/>
      <c r="K42" s="110"/>
    </row>
    <row r="43" spans="2:11" ht="15.75" thickBot="1">
      <c r="B43" s="108"/>
      <c r="C43" s="285"/>
      <c r="D43" s="123" t="s">
        <v>147</v>
      </c>
      <c r="E43" s="127">
        <v>2</v>
      </c>
      <c r="F43" s="109"/>
      <c r="G43" s="109"/>
      <c r="H43" s="109"/>
      <c r="I43" s="109"/>
      <c r="J43" s="109"/>
      <c r="K43" s="110"/>
    </row>
    <row r="44" spans="2:11" ht="15.75" thickBot="1">
      <c r="B44" s="128"/>
      <c r="C44" s="129"/>
      <c r="D44" s="129"/>
      <c r="E44" s="129"/>
      <c r="F44" s="129"/>
      <c r="G44" s="129"/>
      <c r="H44" s="129"/>
      <c r="I44" s="129"/>
      <c r="J44" s="129"/>
      <c r="K44" s="130"/>
    </row>
  </sheetData>
  <mergeCells count="15">
    <mergeCell ref="C29:C31"/>
    <mergeCell ref="C32:C34"/>
    <mergeCell ref="C35:C38"/>
    <mergeCell ref="C39:C43"/>
    <mergeCell ref="C28:E28"/>
    <mergeCell ref="C6:E6"/>
    <mergeCell ref="H6:J6"/>
    <mergeCell ref="C13:C16"/>
    <mergeCell ref="H13:H16"/>
    <mergeCell ref="C17:C21"/>
    <mergeCell ref="H17:H21"/>
    <mergeCell ref="C7:C9"/>
    <mergeCell ref="C10:C12"/>
    <mergeCell ref="H7:H9"/>
    <mergeCell ref="H10:H1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73C2-AD39-43C3-8035-A7F9D1E7846B}">
  <sheetPr codeName="Sheet6"/>
  <dimension ref="B1:K40"/>
  <sheetViews>
    <sheetView workbookViewId="0">
      <selection activeCell="E9" sqref="E9"/>
    </sheetView>
  </sheetViews>
  <sheetFormatPr defaultRowHeight="15"/>
  <cols>
    <col min="1" max="2" width="3.7109375" customWidth="1"/>
    <col min="3" max="3" width="15.140625" bestFit="1" customWidth="1"/>
    <col min="4" max="4" width="35.7109375" customWidth="1"/>
    <col min="5" max="5" width="13.7109375" customWidth="1"/>
    <col min="6" max="7" width="3.7109375" customWidth="1"/>
    <col min="8" max="8" width="15.140625" bestFit="1" customWidth="1"/>
    <col min="9" max="9" width="35.7109375" customWidth="1"/>
    <col min="10" max="10" width="13.7109375" customWidth="1"/>
    <col min="11" max="12" width="3.7109375" customWidth="1"/>
    <col min="13" max="13" width="15.140625" bestFit="1" customWidth="1"/>
    <col min="14" max="14" width="35.7109375" customWidth="1"/>
    <col min="15" max="15" width="13.7109375" customWidth="1"/>
    <col min="16" max="16" width="3.7109375" customWidth="1"/>
  </cols>
  <sheetData>
    <row r="1" spans="2:11" ht="15.75" thickBot="1"/>
    <row r="2" spans="2:11">
      <c r="B2" s="105"/>
      <c r="C2" s="106"/>
      <c r="D2" s="106"/>
      <c r="E2" s="106"/>
      <c r="F2" s="106"/>
      <c r="G2" s="106"/>
      <c r="H2" s="106"/>
      <c r="I2" s="106"/>
      <c r="J2" s="106"/>
      <c r="K2" s="107"/>
    </row>
    <row r="3" spans="2:11">
      <c r="B3" s="108"/>
      <c r="C3" s="109"/>
      <c r="D3" s="109"/>
      <c r="E3" s="109"/>
      <c r="F3" s="109"/>
      <c r="G3" s="109"/>
      <c r="H3" s="109"/>
      <c r="I3" s="109"/>
      <c r="J3" s="109"/>
      <c r="K3" s="110"/>
    </row>
    <row r="4" spans="2:11">
      <c r="B4" s="108"/>
      <c r="C4" s="109"/>
      <c r="D4" s="109"/>
      <c r="E4" s="109"/>
      <c r="F4" s="109"/>
      <c r="G4" s="109"/>
      <c r="H4" s="109"/>
      <c r="I4" s="109"/>
      <c r="J4" s="109"/>
      <c r="K4" s="110"/>
    </row>
    <row r="5" spans="2:11" ht="15.75" thickBot="1">
      <c r="B5" s="108"/>
      <c r="C5" s="109"/>
      <c r="D5" s="109"/>
      <c r="E5" s="109"/>
      <c r="F5" s="109"/>
      <c r="G5" s="109"/>
      <c r="H5" s="109"/>
      <c r="I5" s="109"/>
      <c r="J5" s="109"/>
      <c r="K5" s="110"/>
    </row>
    <row r="6" spans="2:11" ht="15.75" thickBot="1">
      <c r="B6" s="108"/>
      <c r="C6" s="265" t="s">
        <v>150</v>
      </c>
      <c r="D6" s="266"/>
      <c r="E6" s="267"/>
      <c r="F6" s="111"/>
      <c r="G6" s="109"/>
      <c r="H6" s="268" t="s">
        <v>151</v>
      </c>
      <c r="I6" s="269"/>
      <c r="J6" s="270"/>
      <c r="K6" s="110"/>
    </row>
    <row r="7" spans="2:11" ht="15" customHeight="1">
      <c r="B7" s="108"/>
      <c r="C7" s="271" t="s">
        <v>16</v>
      </c>
      <c r="D7" s="102" t="s">
        <v>4</v>
      </c>
      <c r="E7" s="3">
        <v>10.5</v>
      </c>
      <c r="F7" s="113"/>
      <c r="G7" s="109"/>
      <c r="H7" s="274" t="s">
        <v>16</v>
      </c>
      <c r="I7" s="102" t="s">
        <v>4</v>
      </c>
      <c r="J7" s="3">
        <v>0</v>
      </c>
      <c r="K7" s="110"/>
    </row>
    <row r="8" spans="2:11">
      <c r="B8" s="108"/>
      <c r="C8" s="272"/>
      <c r="D8" s="122" t="s">
        <v>172</v>
      </c>
      <c r="E8" s="4">
        <v>0.45</v>
      </c>
      <c r="F8" s="115"/>
      <c r="G8" s="109"/>
      <c r="H8" s="275"/>
      <c r="I8" s="122" t="s">
        <v>172</v>
      </c>
      <c r="J8" s="4">
        <v>0</v>
      </c>
      <c r="K8" s="110"/>
    </row>
    <row r="9" spans="2:11" ht="15.75" thickBot="1">
      <c r="B9" s="108"/>
      <c r="C9" s="273"/>
      <c r="D9" s="123"/>
      <c r="E9" s="6"/>
      <c r="F9" s="115"/>
      <c r="G9" s="109"/>
      <c r="H9" s="276"/>
      <c r="I9" s="123"/>
      <c r="J9" s="6"/>
      <c r="K9" s="110"/>
    </row>
    <row r="10" spans="2:11">
      <c r="B10" s="108"/>
      <c r="C10" s="277" t="s">
        <v>17</v>
      </c>
      <c r="D10" s="103" t="s">
        <v>49</v>
      </c>
      <c r="E10" s="9">
        <v>120</v>
      </c>
      <c r="F10" s="115"/>
      <c r="G10" s="109"/>
      <c r="H10" s="278" t="s">
        <v>17</v>
      </c>
      <c r="I10" s="103" t="s">
        <v>49</v>
      </c>
      <c r="J10" s="9">
        <v>0</v>
      </c>
      <c r="K10" s="110"/>
    </row>
    <row r="11" spans="2:11">
      <c r="B11" s="108"/>
      <c r="C11" s="279"/>
      <c r="D11" s="104" t="s">
        <v>18</v>
      </c>
      <c r="E11" s="9">
        <v>120</v>
      </c>
      <c r="F11" s="119"/>
      <c r="G11" s="109"/>
      <c r="H11" s="281"/>
      <c r="I11" s="104" t="s">
        <v>18</v>
      </c>
      <c r="J11" s="9">
        <v>0</v>
      </c>
      <c r="K11" s="110"/>
    </row>
    <row r="12" spans="2:11" ht="15.75" thickBot="1">
      <c r="B12" s="108"/>
      <c r="C12" s="280"/>
      <c r="D12" s="7" t="s">
        <v>50</v>
      </c>
      <c r="E12" s="99">
        <v>120</v>
      </c>
      <c r="F12" s="115"/>
      <c r="G12" s="109"/>
      <c r="H12" s="282"/>
      <c r="I12" s="7" t="s">
        <v>50</v>
      </c>
      <c r="J12" s="9">
        <v>0</v>
      </c>
      <c r="K12" s="110"/>
    </row>
    <row r="13" spans="2:11">
      <c r="B13" s="108"/>
      <c r="C13" s="271" t="s">
        <v>10</v>
      </c>
      <c r="D13" s="102" t="s">
        <v>11</v>
      </c>
      <c r="E13" s="3" t="s">
        <v>51</v>
      </c>
      <c r="F13" s="115"/>
      <c r="G13" s="109"/>
      <c r="H13" s="274" t="s">
        <v>10</v>
      </c>
      <c r="I13" s="102" t="s">
        <v>11</v>
      </c>
      <c r="J13" s="3" t="s">
        <v>51</v>
      </c>
      <c r="K13" s="110"/>
    </row>
    <row r="14" spans="2:11">
      <c r="B14" s="108"/>
      <c r="C14" s="272"/>
      <c r="D14" s="2" t="s">
        <v>13</v>
      </c>
      <c r="E14" s="4" t="s">
        <v>51</v>
      </c>
      <c r="F14" s="115"/>
      <c r="G14" s="109"/>
      <c r="H14" s="275"/>
      <c r="I14" s="2" t="s">
        <v>13</v>
      </c>
      <c r="J14" s="4" t="s">
        <v>51</v>
      </c>
      <c r="K14" s="110"/>
    </row>
    <row r="15" spans="2:11">
      <c r="B15" s="108"/>
      <c r="C15" s="272"/>
      <c r="D15" s="2" t="s">
        <v>14</v>
      </c>
      <c r="E15" s="4" t="s">
        <v>51</v>
      </c>
      <c r="F15" s="115"/>
      <c r="G15" s="109"/>
      <c r="H15" s="275"/>
      <c r="I15" s="2" t="s">
        <v>14</v>
      </c>
      <c r="J15" s="4" t="s">
        <v>51</v>
      </c>
      <c r="K15" s="110"/>
    </row>
    <row r="16" spans="2:11" ht="15.75" thickBot="1">
      <c r="B16" s="108"/>
      <c r="C16" s="273"/>
      <c r="D16" s="5" t="s">
        <v>15</v>
      </c>
      <c r="E16" s="6" t="s">
        <v>51</v>
      </c>
      <c r="F16" s="115"/>
      <c r="G16" s="109"/>
      <c r="H16" s="276"/>
      <c r="I16" s="5" t="s">
        <v>15</v>
      </c>
      <c r="J16" s="6" t="s">
        <v>51</v>
      </c>
      <c r="K16" s="110"/>
    </row>
    <row r="17" spans="2:11">
      <c r="B17" s="108"/>
      <c r="C17" s="277" t="s">
        <v>5</v>
      </c>
      <c r="D17" s="103" t="s">
        <v>12</v>
      </c>
      <c r="E17" s="9" t="s">
        <v>51</v>
      </c>
      <c r="F17" s="115"/>
      <c r="G17" s="109"/>
      <c r="H17" s="274" t="s">
        <v>5</v>
      </c>
      <c r="I17" s="102" t="s">
        <v>12</v>
      </c>
      <c r="J17" s="3" t="s">
        <v>51</v>
      </c>
      <c r="K17" s="110"/>
    </row>
    <row r="18" spans="2:11">
      <c r="B18" s="108"/>
      <c r="C18" s="272"/>
      <c r="D18" s="2" t="s">
        <v>6</v>
      </c>
      <c r="E18" s="4" t="s">
        <v>51</v>
      </c>
      <c r="F18" s="115"/>
      <c r="G18" s="109"/>
      <c r="H18" s="275"/>
      <c r="I18" s="2" t="s">
        <v>6</v>
      </c>
      <c r="J18" s="4" t="s">
        <v>51</v>
      </c>
      <c r="K18" s="110"/>
    </row>
    <row r="19" spans="2:11">
      <c r="B19" s="108"/>
      <c r="C19" s="272"/>
      <c r="D19" s="2" t="s">
        <v>7</v>
      </c>
      <c r="E19" s="4" t="s">
        <v>51</v>
      </c>
      <c r="F19" s="115"/>
      <c r="G19" s="109"/>
      <c r="H19" s="275"/>
      <c r="I19" s="2" t="s">
        <v>7</v>
      </c>
      <c r="J19" s="4" t="s">
        <v>51</v>
      </c>
      <c r="K19" s="110"/>
    </row>
    <row r="20" spans="2:11">
      <c r="B20" s="108"/>
      <c r="C20" s="272"/>
      <c r="D20" s="2" t="s">
        <v>8</v>
      </c>
      <c r="E20" s="4" t="s">
        <v>51</v>
      </c>
      <c r="F20" s="115"/>
      <c r="G20" s="109"/>
      <c r="H20" s="275"/>
      <c r="I20" s="2" t="s">
        <v>8</v>
      </c>
      <c r="J20" s="4" t="s">
        <v>51</v>
      </c>
      <c r="K20" s="110"/>
    </row>
    <row r="21" spans="2:11" ht="15.75" thickBot="1">
      <c r="B21" s="108"/>
      <c r="C21" s="273"/>
      <c r="D21" s="5" t="s">
        <v>9</v>
      </c>
      <c r="E21" s="6" t="s">
        <v>51</v>
      </c>
      <c r="F21" s="115"/>
      <c r="G21" s="109"/>
      <c r="H21" s="276"/>
      <c r="I21" s="5" t="s">
        <v>9</v>
      </c>
      <c r="J21" s="8" t="s">
        <v>51</v>
      </c>
      <c r="K21" s="110"/>
    </row>
    <row r="22" spans="2:11">
      <c r="B22" s="108"/>
      <c r="C22" s="109"/>
      <c r="D22" s="109"/>
      <c r="E22" s="109"/>
      <c r="F22" s="109"/>
      <c r="G22" s="109"/>
      <c r="H22" s="109"/>
      <c r="I22" s="109"/>
      <c r="J22" s="109"/>
      <c r="K22" s="110"/>
    </row>
    <row r="23" spans="2:11" ht="15.75" thickBot="1">
      <c r="B23" s="108"/>
      <c r="C23" s="109"/>
      <c r="D23" s="109"/>
      <c r="E23" s="109"/>
      <c r="F23" s="109"/>
      <c r="G23" s="109"/>
      <c r="H23" s="109"/>
      <c r="I23" s="109"/>
      <c r="J23" s="109"/>
      <c r="K23" s="110"/>
    </row>
    <row r="24" spans="2:11" ht="15.75" thickBot="1">
      <c r="B24" s="108"/>
      <c r="C24" s="292" t="s">
        <v>153</v>
      </c>
      <c r="D24" s="293"/>
      <c r="E24" s="294"/>
      <c r="F24" s="111"/>
      <c r="G24" s="109"/>
      <c r="H24" s="295" t="s">
        <v>152</v>
      </c>
      <c r="I24" s="296"/>
      <c r="J24" s="297"/>
      <c r="K24" s="110"/>
    </row>
    <row r="25" spans="2:11" ht="15" customHeight="1">
      <c r="B25" s="108"/>
      <c r="C25" s="271" t="s">
        <v>16</v>
      </c>
      <c r="D25" s="102" t="s">
        <v>4</v>
      </c>
      <c r="E25" s="3">
        <v>10.5</v>
      </c>
      <c r="F25" s="113"/>
      <c r="G25" s="109"/>
      <c r="H25" s="274" t="s">
        <v>16</v>
      </c>
      <c r="I25" s="102" t="s">
        <v>4</v>
      </c>
      <c r="J25" s="3">
        <v>0</v>
      </c>
      <c r="K25" s="110"/>
    </row>
    <row r="26" spans="2:11">
      <c r="B26" s="108"/>
      <c r="C26" s="272"/>
      <c r="D26" s="122"/>
      <c r="E26" s="4"/>
      <c r="F26" s="115"/>
      <c r="G26" s="109"/>
      <c r="H26" s="275"/>
      <c r="I26" s="122"/>
      <c r="J26" s="4"/>
      <c r="K26" s="110"/>
    </row>
    <row r="27" spans="2:11" ht="15.75" thickBot="1">
      <c r="B27" s="108"/>
      <c r="C27" s="273"/>
      <c r="D27" s="123" t="s">
        <v>173</v>
      </c>
      <c r="E27" s="6">
        <v>0</v>
      </c>
      <c r="F27" s="115"/>
      <c r="G27" s="109"/>
      <c r="H27" s="276"/>
      <c r="I27" s="123" t="s">
        <v>173</v>
      </c>
      <c r="J27" s="6">
        <v>0</v>
      </c>
      <c r="K27" s="110"/>
    </row>
    <row r="28" spans="2:11">
      <c r="B28" s="108"/>
      <c r="C28" s="277" t="s">
        <v>17</v>
      </c>
      <c r="D28" s="103" t="s">
        <v>49</v>
      </c>
      <c r="E28" s="9">
        <v>120</v>
      </c>
      <c r="F28" s="115"/>
      <c r="G28" s="109"/>
      <c r="H28" s="278" t="s">
        <v>17</v>
      </c>
      <c r="I28" s="103" t="s">
        <v>49</v>
      </c>
      <c r="J28" s="9">
        <v>0</v>
      </c>
      <c r="K28" s="110"/>
    </row>
    <row r="29" spans="2:11">
      <c r="B29" s="108"/>
      <c r="C29" s="279"/>
      <c r="D29" s="104" t="s">
        <v>18</v>
      </c>
      <c r="E29" s="9">
        <v>120</v>
      </c>
      <c r="F29" s="119"/>
      <c r="G29" s="109"/>
      <c r="H29" s="281"/>
      <c r="I29" s="104" t="s">
        <v>18</v>
      </c>
      <c r="J29" s="9">
        <v>0</v>
      </c>
      <c r="K29" s="110"/>
    </row>
    <row r="30" spans="2:11" ht="15.75" thickBot="1">
      <c r="B30" s="108"/>
      <c r="C30" s="280"/>
      <c r="D30" s="7" t="s">
        <v>50</v>
      </c>
      <c r="E30" s="99">
        <v>120</v>
      </c>
      <c r="F30" s="115"/>
      <c r="G30" s="109"/>
      <c r="H30" s="282"/>
      <c r="I30" s="7" t="s">
        <v>50</v>
      </c>
      <c r="J30" s="9">
        <v>0</v>
      </c>
      <c r="K30" s="110"/>
    </row>
    <row r="31" spans="2:11">
      <c r="B31" s="108"/>
      <c r="C31" s="271" t="s">
        <v>10</v>
      </c>
      <c r="D31" s="102" t="s">
        <v>11</v>
      </c>
      <c r="E31" s="3" t="s">
        <v>51</v>
      </c>
      <c r="F31" s="115"/>
      <c r="G31" s="109"/>
      <c r="H31" s="274" t="s">
        <v>10</v>
      </c>
      <c r="I31" s="102" t="s">
        <v>11</v>
      </c>
      <c r="J31" s="3" t="s">
        <v>51</v>
      </c>
      <c r="K31" s="110"/>
    </row>
    <row r="32" spans="2:11">
      <c r="B32" s="108"/>
      <c r="C32" s="272"/>
      <c r="D32" s="2" t="s">
        <v>13</v>
      </c>
      <c r="E32" s="4" t="s">
        <v>51</v>
      </c>
      <c r="F32" s="115"/>
      <c r="G32" s="109"/>
      <c r="H32" s="275"/>
      <c r="I32" s="2" t="s">
        <v>13</v>
      </c>
      <c r="J32" s="4" t="s">
        <v>51</v>
      </c>
      <c r="K32" s="110"/>
    </row>
    <row r="33" spans="2:11">
      <c r="B33" s="108"/>
      <c r="C33" s="272"/>
      <c r="D33" s="2" t="s">
        <v>14</v>
      </c>
      <c r="E33" s="4" t="s">
        <v>51</v>
      </c>
      <c r="F33" s="115"/>
      <c r="G33" s="109"/>
      <c r="H33" s="275"/>
      <c r="I33" s="2" t="s">
        <v>14</v>
      </c>
      <c r="J33" s="4" t="s">
        <v>51</v>
      </c>
      <c r="K33" s="110"/>
    </row>
    <row r="34" spans="2:11" ht="15.75" thickBot="1">
      <c r="B34" s="108"/>
      <c r="C34" s="273"/>
      <c r="D34" s="5" t="s">
        <v>15</v>
      </c>
      <c r="E34" s="6" t="s">
        <v>51</v>
      </c>
      <c r="F34" s="115"/>
      <c r="G34" s="109"/>
      <c r="H34" s="276"/>
      <c r="I34" s="5" t="s">
        <v>15</v>
      </c>
      <c r="J34" s="6" t="s">
        <v>51</v>
      </c>
      <c r="K34" s="110"/>
    </row>
    <row r="35" spans="2:11">
      <c r="B35" s="108"/>
      <c r="C35" s="277" t="s">
        <v>5</v>
      </c>
      <c r="D35" s="103" t="s">
        <v>12</v>
      </c>
      <c r="E35" s="9" t="s">
        <v>51</v>
      </c>
      <c r="F35" s="115"/>
      <c r="G35" s="109"/>
      <c r="H35" s="278" t="s">
        <v>5</v>
      </c>
      <c r="I35" s="103" t="s">
        <v>12</v>
      </c>
      <c r="J35" s="9" t="s">
        <v>51</v>
      </c>
      <c r="K35" s="110"/>
    </row>
    <row r="36" spans="2:11">
      <c r="B36" s="108"/>
      <c r="C36" s="272"/>
      <c r="D36" s="2" t="s">
        <v>6</v>
      </c>
      <c r="E36" s="4" t="s">
        <v>51</v>
      </c>
      <c r="F36" s="115"/>
      <c r="G36" s="109"/>
      <c r="H36" s="275"/>
      <c r="I36" s="2" t="s">
        <v>6</v>
      </c>
      <c r="J36" s="4" t="s">
        <v>51</v>
      </c>
      <c r="K36" s="110"/>
    </row>
    <row r="37" spans="2:11">
      <c r="B37" s="108"/>
      <c r="C37" s="272"/>
      <c r="D37" s="2" t="s">
        <v>7</v>
      </c>
      <c r="E37" s="4" t="s">
        <v>51</v>
      </c>
      <c r="F37" s="115"/>
      <c r="G37" s="109"/>
      <c r="H37" s="275"/>
      <c r="I37" s="2" t="s">
        <v>7</v>
      </c>
      <c r="J37" s="4" t="s">
        <v>51</v>
      </c>
      <c r="K37" s="110"/>
    </row>
    <row r="38" spans="2:11">
      <c r="B38" s="108"/>
      <c r="C38" s="272"/>
      <c r="D38" s="2" t="s">
        <v>8</v>
      </c>
      <c r="E38" s="4" t="s">
        <v>51</v>
      </c>
      <c r="F38" s="115"/>
      <c r="G38" s="109"/>
      <c r="H38" s="275"/>
      <c r="I38" s="2" t="s">
        <v>8</v>
      </c>
      <c r="J38" s="4" t="s">
        <v>51</v>
      </c>
      <c r="K38" s="110"/>
    </row>
    <row r="39" spans="2:11" ht="15.75" thickBot="1">
      <c r="B39" s="108"/>
      <c r="C39" s="273"/>
      <c r="D39" s="5" t="s">
        <v>9</v>
      </c>
      <c r="E39" s="6" t="s">
        <v>51</v>
      </c>
      <c r="F39" s="115"/>
      <c r="G39" s="109"/>
      <c r="H39" s="276"/>
      <c r="I39" s="5" t="s">
        <v>9</v>
      </c>
      <c r="J39" s="8" t="s">
        <v>51</v>
      </c>
      <c r="K39" s="110"/>
    </row>
    <row r="40" spans="2:11" ht="15.75" thickBot="1">
      <c r="B40" s="128"/>
      <c r="C40" s="129"/>
      <c r="D40" s="129"/>
      <c r="E40" s="129"/>
      <c r="F40" s="129"/>
      <c r="G40" s="129"/>
      <c r="H40" s="129"/>
      <c r="I40" s="129"/>
      <c r="J40" s="129"/>
      <c r="K40" s="130"/>
    </row>
  </sheetData>
  <mergeCells count="20">
    <mergeCell ref="C35:C39"/>
    <mergeCell ref="H35:H39"/>
    <mergeCell ref="C25:C27"/>
    <mergeCell ref="H25:H27"/>
    <mergeCell ref="C28:C30"/>
    <mergeCell ref="H28:H30"/>
    <mergeCell ref="C31:C34"/>
    <mergeCell ref="H31:H34"/>
    <mergeCell ref="C13:C16"/>
    <mergeCell ref="H13:H16"/>
    <mergeCell ref="C17:C21"/>
    <mergeCell ref="H17:H21"/>
    <mergeCell ref="C24:E24"/>
    <mergeCell ref="H24:J24"/>
    <mergeCell ref="C6:E6"/>
    <mergeCell ref="H6:J6"/>
    <mergeCell ref="C7:C9"/>
    <mergeCell ref="H7:H9"/>
    <mergeCell ref="C10:C12"/>
    <mergeCell ref="H10:H1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A6601-8C20-4794-B84E-3C3383001E16}">
  <sheetPr codeName="Sheet7"/>
  <dimension ref="B1:P211"/>
  <sheetViews>
    <sheetView workbookViewId="0">
      <selection activeCell="N18" sqref="N18"/>
    </sheetView>
  </sheetViews>
  <sheetFormatPr defaultColWidth="12.5703125" defaultRowHeight="15"/>
  <cols>
    <col min="2" max="2" width="13.42578125" customWidth="1"/>
    <col min="3" max="3" width="8.42578125" bestFit="1" customWidth="1"/>
    <col min="4" max="4" width="10" bestFit="1" customWidth="1"/>
    <col min="5" max="5" width="9.42578125" bestFit="1" customWidth="1"/>
    <col min="6" max="6" width="10" bestFit="1" customWidth="1"/>
    <col min="7" max="7" width="5.28515625" customWidth="1"/>
    <col min="8" max="8" width="13.42578125" customWidth="1"/>
    <col min="9" max="9" width="8.42578125" bestFit="1" customWidth="1"/>
    <col min="10" max="10" width="9" bestFit="1" customWidth="1"/>
    <col min="11" max="11" width="9.42578125" bestFit="1" customWidth="1"/>
    <col min="12" max="12" width="9" bestFit="1" customWidth="1"/>
    <col min="13" max="13" width="5.7109375" customWidth="1"/>
  </cols>
  <sheetData>
    <row r="1" spans="2:16" ht="18.75">
      <c r="B1" s="315" t="s">
        <v>74</v>
      </c>
      <c r="C1" s="312"/>
      <c r="D1" s="313"/>
      <c r="F1" s="12"/>
      <c r="G1" s="12"/>
      <c r="H1" s="316" t="s">
        <v>74</v>
      </c>
      <c r="I1" s="312"/>
      <c r="J1" s="313"/>
      <c r="L1" s="12"/>
    </row>
    <row r="2" spans="2:16" ht="18">
      <c r="B2" s="82" t="s">
        <v>111</v>
      </c>
      <c r="C2" s="317" t="s">
        <v>112</v>
      </c>
      <c r="D2" s="306"/>
      <c r="F2" s="12"/>
      <c r="H2" s="83" t="s">
        <v>111</v>
      </c>
      <c r="I2" s="317" t="s">
        <v>112</v>
      </c>
      <c r="J2" s="306"/>
      <c r="L2" s="12"/>
      <c r="N2" s="298" t="s">
        <v>113</v>
      </c>
      <c r="O2" s="299"/>
      <c r="P2" s="300"/>
    </row>
    <row r="3" spans="2:16" ht="15" customHeight="1">
      <c r="B3" s="84" t="s">
        <v>83</v>
      </c>
      <c r="C3" s="307">
        <f>[1]Calculator!N18</f>
        <v>0.75</v>
      </c>
      <c r="D3" s="306"/>
      <c r="F3" s="12"/>
      <c r="G3" s="85"/>
      <c r="H3" s="86" t="s">
        <v>83</v>
      </c>
      <c r="I3" s="307">
        <f>[1]Calculator!N18</f>
        <v>0.75</v>
      </c>
      <c r="J3" s="306"/>
      <c r="L3" s="12"/>
      <c r="N3" s="301"/>
      <c r="O3" s="302"/>
      <c r="P3" s="303"/>
    </row>
    <row r="4" spans="2:16" ht="15" customHeight="1">
      <c r="B4" s="84" t="s">
        <v>84</v>
      </c>
      <c r="C4" s="307">
        <f>[1]Calculator!N19</f>
        <v>0.875</v>
      </c>
      <c r="D4" s="306"/>
      <c r="F4" s="12"/>
      <c r="G4" s="85"/>
      <c r="H4" s="86" t="s">
        <v>84</v>
      </c>
      <c r="I4" s="307">
        <f>[1]Calculator!N19</f>
        <v>0.875</v>
      </c>
      <c r="J4" s="306"/>
      <c r="L4" s="12"/>
      <c r="N4" s="304"/>
      <c r="O4" s="305"/>
      <c r="P4" s="306"/>
    </row>
    <row r="5" spans="2:16">
      <c r="B5" s="12"/>
      <c r="C5" s="12"/>
      <c r="D5" s="12"/>
      <c r="E5" s="12"/>
      <c r="F5" s="12"/>
      <c r="G5" s="40"/>
      <c r="H5" s="12"/>
      <c r="I5" s="12"/>
      <c r="J5" s="12"/>
      <c r="K5" s="12"/>
      <c r="L5" s="12"/>
    </row>
    <row r="6" spans="2:16">
      <c r="B6" s="308" t="s">
        <v>114</v>
      </c>
      <c r="C6" s="87" t="s">
        <v>25</v>
      </c>
      <c r="D6" s="87" t="s">
        <v>60</v>
      </c>
      <c r="E6" s="88" t="s">
        <v>61</v>
      </c>
      <c r="F6" s="88" t="s">
        <v>62</v>
      </c>
      <c r="G6" s="40"/>
      <c r="H6" s="310" t="s">
        <v>114</v>
      </c>
      <c r="I6" s="89" t="s">
        <v>25</v>
      </c>
      <c r="J6" s="89" t="s">
        <v>60</v>
      </c>
      <c r="K6" s="90" t="s">
        <v>61</v>
      </c>
      <c r="L6" s="90" t="s">
        <v>62</v>
      </c>
    </row>
    <row r="7" spans="2:16">
      <c r="B7" s="309"/>
      <c r="C7" s="91">
        <f t="array" ref="C7">SUM(INDEX(C11:C106, MATCH(C3, B11:B106, 0)):INDEX(C11:C106, MATCH(C4, B11:B106, 0))) / 4</f>
        <v>11331.75</v>
      </c>
      <c r="D7" s="91">
        <f t="array" ref="D7">SUM(INDEX(D11:D106, MATCH(C3, B11:B106, 0)):INDEX(D11:D106, MATCH(C4, B11:B106, 0))) / 4</f>
        <v>11068.09375</v>
      </c>
      <c r="E7" s="91">
        <f t="array" ref="E7">SUM(INDEX(E11:E106, MATCH(C3, B11:B106, 0)):INDEX(E11:E106, MATCH(C4, B11:B106, 0))) / 4</f>
        <v>10877.8125</v>
      </c>
      <c r="F7" s="91">
        <f t="array" ref="F7">SUM(INDEX(F11:F106, MATCH(C3, B11:B106, 0)):INDEX(F11:F106, MATCH(C4, B11:B106, 0))) / 4</f>
        <v>10479.46875</v>
      </c>
      <c r="H7" s="309"/>
      <c r="I7" s="91">
        <f t="array" ref="I7">SUM(INDEX(I11:I106, MATCH(I3, H11:H106, 0)):INDEX(I11:I106, MATCH(I4, H11:H106, 0))) / 4</f>
        <v>14051.25</v>
      </c>
      <c r="J7" s="91">
        <f t="array" ref="J7">SUM(INDEX(J11:J106, MATCH(I3, H11:H106, 0)):INDEX(J11:J106, MATCH(I4, H11:H106, 0))) / 4</f>
        <v>11893.4375</v>
      </c>
      <c r="K7" s="91">
        <f t="array" ref="K7">SUM(INDEX(K11:K106, MATCH(I3, H11:H106, 0)):INDEX(K11:K106, MATCH(I4, H11:H106, 0))) / 4</f>
        <v>11112.625</v>
      </c>
      <c r="L7" s="91">
        <f t="array" ref="L7">SUM(INDEX(L11:L106, MATCH(I3, H11:H106, 0)):INDEX(L11:L106, MATCH(I4, H11:H106, 0))) / 4</f>
        <v>9907.125</v>
      </c>
    </row>
    <row r="9" spans="2:16">
      <c r="B9" s="311" t="s">
        <v>89</v>
      </c>
      <c r="C9" s="312"/>
      <c r="D9" s="312"/>
      <c r="E9" s="312"/>
      <c r="F9" s="313"/>
      <c r="H9" s="314" t="s">
        <v>90</v>
      </c>
      <c r="I9" s="312"/>
      <c r="J9" s="312"/>
      <c r="K9" s="312"/>
      <c r="L9" s="313"/>
    </row>
    <row r="10" spans="2:16">
      <c r="B10" s="50" t="s">
        <v>91</v>
      </c>
      <c r="C10" s="92" t="s">
        <v>25</v>
      </c>
      <c r="D10" s="92" t="s">
        <v>60</v>
      </c>
      <c r="E10" s="92" t="s">
        <v>61</v>
      </c>
      <c r="F10" s="92" t="s">
        <v>62</v>
      </c>
      <c r="H10" s="50" t="s">
        <v>91</v>
      </c>
      <c r="I10" s="92" t="s">
        <v>25</v>
      </c>
      <c r="J10" s="92" t="s">
        <v>60</v>
      </c>
      <c r="K10" s="92" t="s">
        <v>61</v>
      </c>
      <c r="L10" s="92" t="s">
        <v>62</v>
      </c>
    </row>
    <row r="11" spans="2:16">
      <c r="B11" s="54">
        <v>0</v>
      </c>
      <c r="C11" s="79">
        <v>2936</v>
      </c>
      <c r="D11" s="93">
        <v>2799.5</v>
      </c>
      <c r="E11" s="93">
        <v>2739.5</v>
      </c>
      <c r="F11" s="93">
        <v>2646</v>
      </c>
      <c r="H11" s="54">
        <v>0</v>
      </c>
      <c r="I11" s="79">
        <v>3407</v>
      </c>
      <c r="J11" s="93">
        <v>2758</v>
      </c>
      <c r="K11" s="93">
        <v>2548</v>
      </c>
      <c r="L11" s="93">
        <v>2375</v>
      </c>
    </row>
    <row r="12" spans="2:16">
      <c r="B12" s="54">
        <v>1.0416666666666666E-2</v>
      </c>
      <c r="C12" s="55">
        <v>2911.25</v>
      </c>
      <c r="D12" s="93">
        <v>2776.25</v>
      </c>
      <c r="E12" s="93">
        <v>2712.75</v>
      </c>
      <c r="F12" s="93">
        <v>2616.0625</v>
      </c>
      <c r="H12" s="54">
        <v>1.0416666666666666E-2</v>
      </c>
      <c r="I12" s="55">
        <v>3335</v>
      </c>
      <c r="J12" s="93">
        <v>2701.625</v>
      </c>
      <c r="K12" s="93">
        <v>2502</v>
      </c>
      <c r="L12" s="93">
        <v>2335.75</v>
      </c>
    </row>
    <row r="13" spans="2:16">
      <c r="B13" s="54">
        <v>2.0833333333333332E-2</v>
      </c>
      <c r="C13" s="55">
        <v>2886.5</v>
      </c>
      <c r="D13" s="93">
        <v>2753</v>
      </c>
      <c r="E13" s="94">
        <v>2686</v>
      </c>
      <c r="F13" s="93">
        <v>2586.125</v>
      </c>
      <c r="H13" s="54">
        <v>2.0833333333333332E-2</v>
      </c>
      <c r="I13" s="55">
        <v>3263</v>
      </c>
      <c r="J13" s="93">
        <v>2645.25</v>
      </c>
      <c r="K13" s="94">
        <v>2456</v>
      </c>
      <c r="L13" s="93">
        <v>2296.5</v>
      </c>
    </row>
    <row r="14" spans="2:16">
      <c r="B14" s="54">
        <v>3.125E-2</v>
      </c>
      <c r="C14" s="55">
        <v>2861.75</v>
      </c>
      <c r="D14" s="93">
        <v>2729.75</v>
      </c>
      <c r="E14" s="93">
        <v>2659.25</v>
      </c>
      <c r="F14" s="93">
        <v>2556.1875</v>
      </c>
      <c r="H14" s="54">
        <v>3.125E-2</v>
      </c>
      <c r="I14" s="55">
        <v>3191</v>
      </c>
      <c r="J14" s="93">
        <v>2588.875</v>
      </c>
      <c r="K14" s="93">
        <v>2410</v>
      </c>
      <c r="L14" s="93">
        <v>2257.25</v>
      </c>
    </row>
    <row r="15" spans="2:16">
      <c r="B15" s="54">
        <v>4.1666666666666664E-2</v>
      </c>
      <c r="C15" s="55">
        <v>2837</v>
      </c>
      <c r="D15" s="93">
        <v>2706.5</v>
      </c>
      <c r="E15" s="93">
        <v>2632.5</v>
      </c>
      <c r="F15" s="93">
        <v>2526.25</v>
      </c>
      <c r="H15" s="54">
        <v>4.1666666666666664E-2</v>
      </c>
      <c r="I15" s="55">
        <v>3119</v>
      </c>
      <c r="J15" s="93">
        <v>2532.5</v>
      </c>
      <c r="K15" s="93">
        <v>2364</v>
      </c>
      <c r="L15" s="93">
        <v>2218</v>
      </c>
    </row>
    <row r="16" spans="2:16">
      <c r="B16" s="54">
        <v>5.2083333333333336E-2</v>
      </c>
      <c r="C16" s="55">
        <v>2827.75</v>
      </c>
      <c r="D16" s="93">
        <v>2693.9375</v>
      </c>
      <c r="E16" s="93">
        <v>2616.75</v>
      </c>
      <c r="F16" s="93">
        <v>2508.5</v>
      </c>
      <c r="H16" s="54">
        <v>5.2083333333333336E-2</v>
      </c>
      <c r="I16" s="55">
        <v>3060</v>
      </c>
      <c r="J16" s="93">
        <v>2490.125</v>
      </c>
      <c r="K16" s="93">
        <v>2325.75</v>
      </c>
      <c r="L16" s="93">
        <v>2188.375</v>
      </c>
    </row>
    <row r="17" spans="2:12">
      <c r="B17" s="54">
        <v>6.25E-2</v>
      </c>
      <c r="C17" s="55">
        <v>2818.5</v>
      </c>
      <c r="D17" s="93">
        <v>2681.375</v>
      </c>
      <c r="E17" s="93">
        <v>2601</v>
      </c>
      <c r="F17" s="93">
        <v>2490.75</v>
      </c>
      <c r="H17" s="54">
        <v>6.25E-2</v>
      </c>
      <c r="I17" s="55">
        <v>3001</v>
      </c>
      <c r="J17" s="93">
        <v>2447.75</v>
      </c>
      <c r="K17" s="93">
        <v>2287.5</v>
      </c>
      <c r="L17" s="93">
        <v>2158.75</v>
      </c>
    </row>
    <row r="18" spans="2:12">
      <c r="B18" s="54">
        <v>7.2916666666666671E-2</v>
      </c>
      <c r="C18" s="55">
        <v>2809.25</v>
      </c>
      <c r="D18" s="93">
        <v>2668.8125</v>
      </c>
      <c r="E18" s="93">
        <v>2585.25</v>
      </c>
      <c r="F18" s="93">
        <v>2473</v>
      </c>
      <c r="H18" s="54">
        <v>7.2916666666666671E-2</v>
      </c>
      <c r="I18" s="55">
        <v>2942</v>
      </c>
      <c r="J18" s="93">
        <v>2405.375</v>
      </c>
      <c r="K18" s="93">
        <v>2249.25</v>
      </c>
      <c r="L18" s="93">
        <v>2129.125</v>
      </c>
    </row>
    <row r="19" spans="2:12">
      <c r="B19" s="54">
        <v>8.3333333333333329E-2</v>
      </c>
      <c r="C19" s="55">
        <v>2800</v>
      </c>
      <c r="D19" s="93">
        <v>2656.25</v>
      </c>
      <c r="E19" s="93">
        <v>2569.5</v>
      </c>
      <c r="F19" s="93">
        <v>2455.25</v>
      </c>
      <c r="H19" s="54">
        <v>8.3333333333333329E-2</v>
      </c>
      <c r="I19" s="55">
        <v>2883</v>
      </c>
      <c r="J19" s="93">
        <v>2363</v>
      </c>
      <c r="K19" s="93">
        <v>2211</v>
      </c>
      <c r="L19" s="93">
        <v>2099.5</v>
      </c>
    </row>
    <row r="20" spans="2:12">
      <c r="B20" s="54">
        <v>9.375E-2</v>
      </c>
      <c r="C20" s="55">
        <v>2793.5</v>
      </c>
      <c r="D20" s="93">
        <v>2654.5625</v>
      </c>
      <c r="E20" s="93">
        <v>2562.5</v>
      </c>
      <c r="F20" s="93">
        <v>2450.5</v>
      </c>
      <c r="H20" s="54">
        <v>9.375E-2</v>
      </c>
      <c r="I20" s="55">
        <v>2841.25</v>
      </c>
      <c r="J20" s="93">
        <v>2335.625</v>
      </c>
      <c r="K20" s="93">
        <v>2182.5</v>
      </c>
      <c r="L20" s="93">
        <v>2079.375</v>
      </c>
    </row>
    <row r="21" spans="2:12">
      <c r="B21" s="54">
        <v>0.10416666666666667</v>
      </c>
      <c r="C21" s="55">
        <v>2787</v>
      </c>
      <c r="D21" s="93">
        <v>2652.875</v>
      </c>
      <c r="E21" s="93">
        <v>2555.5</v>
      </c>
      <c r="F21" s="93">
        <v>2445.75</v>
      </c>
      <c r="H21" s="54">
        <v>0.10416666666666667</v>
      </c>
      <c r="I21" s="55">
        <v>2799.5</v>
      </c>
      <c r="J21" s="93">
        <v>2308.25</v>
      </c>
      <c r="K21" s="93">
        <v>2154</v>
      </c>
      <c r="L21" s="93">
        <v>2059.25</v>
      </c>
    </row>
    <row r="22" spans="2:12">
      <c r="B22" s="54">
        <v>0.11458333333333333</v>
      </c>
      <c r="C22" s="55">
        <v>2780.5</v>
      </c>
      <c r="D22" s="93">
        <v>2651.1875</v>
      </c>
      <c r="E22" s="93">
        <v>2548.5</v>
      </c>
      <c r="F22" s="93">
        <v>2441</v>
      </c>
      <c r="H22" s="54">
        <v>0.11458333333333333</v>
      </c>
      <c r="I22" s="55">
        <v>2757.75</v>
      </c>
      <c r="J22" s="93">
        <v>2280.875</v>
      </c>
      <c r="K22" s="93">
        <v>2125.5</v>
      </c>
      <c r="L22" s="93">
        <v>2039.125</v>
      </c>
    </row>
    <row r="23" spans="2:12">
      <c r="B23" s="54">
        <v>0.125</v>
      </c>
      <c r="C23" s="55">
        <v>2774</v>
      </c>
      <c r="D23" s="93">
        <v>2649.5</v>
      </c>
      <c r="E23" s="93">
        <v>2541.5</v>
      </c>
      <c r="F23" s="93">
        <v>2436.25</v>
      </c>
      <c r="H23" s="54">
        <v>0.125</v>
      </c>
      <c r="I23" s="55">
        <v>2716</v>
      </c>
      <c r="J23" s="93">
        <v>2253.5</v>
      </c>
      <c r="K23" s="93">
        <v>2097</v>
      </c>
      <c r="L23" s="93">
        <v>2019</v>
      </c>
    </row>
    <row r="24" spans="2:12">
      <c r="B24" s="54">
        <v>0.13541666666666666</v>
      </c>
      <c r="C24" s="55">
        <v>2794.5</v>
      </c>
      <c r="D24" s="93">
        <v>2660.375</v>
      </c>
      <c r="E24" s="93">
        <v>2548.25</v>
      </c>
      <c r="F24" s="93">
        <v>2441.5</v>
      </c>
      <c r="H24" s="54">
        <v>0.13541666666666666</v>
      </c>
      <c r="I24" s="55">
        <v>2688</v>
      </c>
      <c r="J24" s="93">
        <v>2238.125</v>
      </c>
      <c r="K24" s="93">
        <v>2087.75</v>
      </c>
      <c r="L24" s="93">
        <v>2012.5</v>
      </c>
    </row>
    <row r="25" spans="2:12">
      <c r="B25" s="54">
        <v>0.14583333333333334</v>
      </c>
      <c r="C25" s="55">
        <v>2815</v>
      </c>
      <c r="D25" s="93">
        <v>2671.25</v>
      </c>
      <c r="E25" s="93">
        <v>2555</v>
      </c>
      <c r="F25" s="93">
        <v>2446.75</v>
      </c>
      <c r="H25" s="54">
        <v>0.14583333333333334</v>
      </c>
      <c r="I25" s="55">
        <v>2660</v>
      </c>
      <c r="J25" s="93">
        <v>2222.75</v>
      </c>
      <c r="K25" s="93">
        <v>2078.5</v>
      </c>
      <c r="L25" s="93">
        <v>2006</v>
      </c>
    </row>
    <row r="26" spans="2:12">
      <c r="B26" s="54">
        <v>0.15625</v>
      </c>
      <c r="C26" s="55">
        <v>2835.5</v>
      </c>
      <c r="D26" s="93">
        <v>2682.125</v>
      </c>
      <c r="E26" s="93">
        <v>2561.75</v>
      </c>
      <c r="F26" s="93">
        <v>2452</v>
      </c>
      <c r="H26" s="54">
        <v>0.15625</v>
      </c>
      <c r="I26" s="55">
        <v>2632</v>
      </c>
      <c r="J26" s="93">
        <v>2207.375</v>
      </c>
      <c r="K26" s="93">
        <v>2069.25</v>
      </c>
      <c r="L26" s="93">
        <v>1999.5</v>
      </c>
    </row>
    <row r="27" spans="2:12">
      <c r="B27" s="54">
        <v>0.16666666666666666</v>
      </c>
      <c r="C27" s="55">
        <v>2856</v>
      </c>
      <c r="D27" s="93">
        <v>2693</v>
      </c>
      <c r="E27" s="93">
        <v>2568.5</v>
      </c>
      <c r="F27" s="93">
        <v>2457.25</v>
      </c>
      <c r="H27" s="54">
        <v>0.16666666666666666</v>
      </c>
      <c r="I27" s="55">
        <v>2604</v>
      </c>
      <c r="J27" s="93">
        <v>2192</v>
      </c>
      <c r="K27" s="93">
        <v>2060</v>
      </c>
      <c r="L27" s="93">
        <v>1993</v>
      </c>
    </row>
    <row r="28" spans="2:12">
      <c r="B28" s="54">
        <v>0.17708333333333334</v>
      </c>
      <c r="C28" s="55">
        <v>2882.75</v>
      </c>
      <c r="D28" s="93">
        <v>2721</v>
      </c>
      <c r="E28" s="93">
        <v>2595.25</v>
      </c>
      <c r="F28" s="93">
        <v>2479.5625</v>
      </c>
      <c r="H28" s="54">
        <v>0.17708333333333334</v>
      </c>
      <c r="I28" s="55">
        <v>2592.5</v>
      </c>
      <c r="J28" s="93">
        <v>2191.75</v>
      </c>
      <c r="K28" s="93">
        <v>2069.75</v>
      </c>
      <c r="L28" s="93">
        <v>1999.25</v>
      </c>
    </row>
    <row r="29" spans="2:12">
      <c r="B29" s="54">
        <v>0.1875</v>
      </c>
      <c r="C29" s="55">
        <v>2909.5</v>
      </c>
      <c r="D29" s="93">
        <v>2749</v>
      </c>
      <c r="E29" s="93">
        <v>2622</v>
      </c>
      <c r="F29" s="93">
        <v>2501.875</v>
      </c>
      <c r="H29" s="54">
        <v>0.1875</v>
      </c>
      <c r="I29" s="55">
        <v>2581</v>
      </c>
      <c r="J29" s="93">
        <v>2191.5</v>
      </c>
      <c r="K29" s="93">
        <v>2079.5</v>
      </c>
      <c r="L29" s="93">
        <v>2005.5</v>
      </c>
    </row>
    <row r="30" spans="2:12">
      <c r="B30" s="54">
        <v>0.19791666666666666</v>
      </c>
      <c r="C30" s="55">
        <v>2936.25</v>
      </c>
      <c r="D30" s="93">
        <v>2777</v>
      </c>
      <c r="E30" s="93">
        <v>2648.75</v>
      </c>
      <c r="F30" s="93">
        <v>2524.1875</v>
      </c>
      <c r="H30" s="54">
        <v>0.19791666666666666</v>
      </c>
      <c r="I30" s="55">
        <v>2569.5</v>
      </c>
      <c r="J30" s="93">
        <v>2191.25</v>
      </c>
      <c r="K30" s="93">
        <v>2089.25</v>
      </c>
      <c r="L30" s="93">
        <v>2011.75</v>
      </c>
    </row>
    <row r="31" spans="2:12">
      <c r="B31" s="54">
        <v>0.20833333333333334</v>
      </c>
      <c r="C31" s="55">
        <v>2963</v>
      </c>
      <c r="D31" s="93">
        <v>2805</v>
      </c>
      <c r="E31" s="93">
        <v>2675.5</v>
      </c>
      <c r="F31" s="93">
        <v>2546.5</v>
      </c>
      <c r="H31" s="54">
        <v>0.20833333333333334</v>
      </c>
      <c r="I31" s="55">
        <v>2558</v>
      </c>
      <c r="J31" s="93">
        <v>2191</v>
      </c>
      <c r="K31" s="93">
        <v>2099</v>
      </c>
      <c r="L31" s="93">
        <v>2018</v>
      </c>
    </row>
    <row r="32" spans="2:12">
      <c r="B32" s="54">
        <v>0.21875</v>
      </c>
      <c r="C32" s="55">
        <v>3018</v>
      </c>
      <c r="D32" s="93">
        <v>2862.625</v>
      </c>
      <c r="E32" s="93">
        <v>2726.875</v>
      </c>
      <c r="F32" s="93">
        <v>2593</v>
      </c>
      <c r="H32" s="54">
        <v>0.21875</v>
      </c>
      <c r="I32" s="55">
        <v>2567.5</v>
      </c>
      <c r="J32" s="93">
        <v>2209.375</v>
      </c>
      <c r="K32" s="93">
        <v>2117</v>
      </c>
      <c r="L32" s="93">
        <v>2041.875</v>
      </c>
    </row>
    <row r="33" spans="2:12">
      <c r="B33" s="54">
        <v>0.22916666666666666</v>
      </c>
      <c r="C33" s="55">
        <v>3073</v>
      </c>
      <c r="D33" s="93">
        <v>2920.25</v>
      </c>
      <c r="E33" s="93">
        <v>2778.25</v>
      </c>
      <c r="F33" s="93">
        <v>2639.5</v>
      </c>
      <c r="H33" s="54">
        <v>0.22916666666666666</v>
      </c>
      <c r="I33" s="55">
        <v>2577</v>
      </c>
      <c r="J33" s="93">
        <v>2227.75</v>
      </c>
      <c r="K33" s="93">
        <v>2135</v>
      </c>
      <c r="L33" s="93">
        <v>2065.75</v>
      </c>
    </row>
    <row r="34" spans="2:12">
      <c r="B34" s="54">
        <v>0.23958333333333334</v>
      </c>
      <c r="C34" s="55">
        <v>3128</v>
      </c>
      <c r="D34" s="93">
        <v>2977.875</v>
      </c>
      <c r="E34" s="93">
        <v>2829.625</v>
      </c>
      <c r="F34" s="93">
        <v>2686</v>
      </c>
      <c r="H34" s="54">
        <v>0.23958333333333334</v>
      </c>
      <c r="I34" s="55">
        <v>2586.5</v>
      </c>
      <c r="J34" s="93">
        <v>2246.125</v>
      </c>
      <c r="K34" s="93">
        <v>2153</v>
      </c>
      <c r="L34" s="93">
        <v>2089.625</v>
      </c>
    </row>
    <row r="35" spans="2:12">
      <c r="B35" s="54">
        <v>0.25</v>
      </c>
      <c r="C35" s="55">
        <v>3183</v>
      </c>
      <c r="D35" s="93">
        <v>3035.5</v>
      </c>
      <c r="E35" s="93">
        <v>2881</v>
      </c>
      <c r="F35" s="93">
        <v>2732.5</v>
      </c>
      <c r="H35" s="54">
        <v>0.25</v>
      </c>
      <c r="I35" s="55">
        <v>2596</v>
      </c>
      <c r="J35" s="93">
        <v>2264.5</v>
      </c>
      <c r="K35" s="93">
        <v>2171</v>
      </c>
      <c r="L35" s="93">
        <v>2113.5</v>
      </c>
    </row>
    <row r="36" spans="2:12">
      <c r="B36" s="54">
        <v>0.26041666666666669</v>
      </c>
      <c r="C36" s="55">
        <v>3266.75</v>
      </c>
      <c r="D36" s="93">
        <v>3115.8125</v>
      </c>
      <c r="E36" s="93">
        <v>2956.25</v>
      </c>
      <c r="F36" s="93">
        <v>2805.375</v>
      </c>
      <c r="H36" s="54">
        <v>0.26041666666666669</v>
      </c>
      <c r="I36" s="55">
        <v>2633.5</v>
      </c>
      <c r="J36" s="93">
        <v>2297.125</v>
      </c>
      <c r="K36" s="93">
        <v>2206</v>
      </c>
      <c r="L36" s="93">
        <v>2147</v>
      </c>
    </row>
    <row r="37" spans="2:12">
      <c r="B37" s="54">
        <v>0.27083333333333331</v>
      </c>
      <c r="C37" s="55">
        <v>3350.5</v>
      </c>
      <c r="D37" s="93">
        <v>3196.125</v>
      </c>
      <c r="E37" s="93">
        <v>3031.5</v>
      </c>
      <c r="F37" s="93">
        <v>2878.25</v>
      </c>
      <c r="H37" s="54">
        <v>0.27083333333333331</v>
      </c>
      <c r="I37" s="55">
        <v>2671</v>
      </c>
      <c r="J37" s="93">
        <v>2329.75</v>
      </c>
      <c r="K37" s="93">
        <v>2241</v>
      </c>
      <c r="L37" s="93">
        <v>2180.5</v>
      </c>
    </row>
    <row r="38" spans="2:12">
      <c r="B38" s="54">
        <v>0.28125</v>
      </c>
      <c r="C38" s="55">
        <v>3434.25</v>
      </c>
      <c r="D38" s="93">
        <v>3276.4375</v>
      </c>
      <c r="E38" s="93">
        <v>3106.75</v>
      </c>
      <c r="F38" s="93">
        <v>2951.125</v>
      </c>
      <c r="H38" s="54">
        <v>0.28125</v>
      </c>
      <c r="I38" s="55">
        <v>2708.5</v>
      </c>
      <c r="J38" s="93">
        <v>2362.375</v>
      </c>
      <c r="K38" s="93">
        <v>2276</v>
      </c>
      <c r="L38" s="93">
        <v>2214</v>
      </c>
    </row>
    <row r="39" spans="2:12">
      <c r="B39" s="54">
        <v>0.29166666666666669</v>
      </c>
      <c r="C39" s="55">
        <v>3518</v>
      </c>
      <c r="D39" s="93">
        <v>3356.75</v>
      </c>
      <c r="E39" s="93">
        <v>3182</v>
      </c>
      <c r="F39" s="93">
        <v>3024</v>
      </c>
      <c r="H39" s="54">
        <v>0.29166666666666669</v>
      </c>
      <c r="I39" s="55">
        <v>2746</v>
      </c>
      <c r="J39" s="93">
        <v>2395</v>
      </c>
      <c r="K39" s="93">
        <v>2311</v>
      </c>
      <c r="L39" s="93">
        <v>2247.5</v>
      </c>
    </row>
    <row r="40" spans="2:12">
      <c r="B40" s="54">
        <v>0.30208333333333331</v>
      </c>
      <c r="C40" s="55">
        <v>3572</v>
      </c>
      <c r="D40" s="93">
        <v>3411.0625</v>
      </c>
      <c r="E40" s="93">
        <v>3233.25</v>
      </c>
      <c r="F40" s="93">
        <v>3072.75</v>
      </c>
      <c r="H40" s="54">
        <v>0.30208333333333331</v>
      </c>
      <c r="I40" s="55">
        <v>2791.75</v>
      </c>
      <c r="J40" s="93">
        <v>2427.875</v>
      </c>
      <c r="K40" s="93">
        <v>2342.25</v>
      </c>
      <c r="L40" s="93">
        <v>2278.25</v>
      </c>
    </row>
    <row r="41" spans="2:12">
      <c r="B41" s="54">
        <v>0.3125</v>
      </c>
      <c r="C41" s="55">
        <v>3626</v>
      </c>
      <c r="D41" s="93">
        <v>3465.375</v>
      </c>
      <c r="E41" s="93">
        <v>3284.5</v>
      </c>
      <c r="F41" s="93">
        <v>3121.5</v>
      </c>
      <c r="H41" s="54">
        <v>0.3125</v>
      </c>
      <c r="I41" s="55">
        <v>2837.5</v>
      </c>
      <c r="J41" s="93">
        <v>2460.75</v>
      </c>
      <c r="K41" s="93">
        <v>2373.5</v>
      </c>
      <c r="L41" s="93">
        <v>2309</v>
      </c>
    </row>
    <row r="42" spans="2:12">
      <c r="B42" s="54">
        <v>0.32291666666666669</v>
      </c>
      <c r="C42" s="55">
        <v>3680</v>
      </c>
      <c r="D42" s="93">
        <v>3519.6875</v>
      </c>
      <c r="E42" s="93">
        <v>3335.75</v>
      </c>
      <c r="F42" s="93">
        <v>3170.25</v>
      </c>
      <c r="H42" s="54">
        <v>0.32291666666666669</v>
      </c>
      <c r="I42" s="55">
        <v>2883.25</v>
      </c>
      <c r="J42" s="93">
        <v>2493.625</v>
      </c>
      <c r="K42" s="93">
        <v>2404.75</v>
      </c>
      <c r="L42" s="93">
        <v>2339.75</v>
      </c>
    </row>
    <row r="43" spans="2:12">
      <c r="B43" s="54">
        <v>0.33333333333333331</v>
      </c>
      <c r="C43" s="55">
        <v>3734</v>
      </c>
      <c r="D43" s="93">
        <v>3574</v>
      </c>
      <c r="E43" s="93">
        <v>3387</v>
      </c>
      <c r="F43" s="93">
        <v>3219</v>
      </c>
      <c r="H43" s="54">
        <v>0.33333333333333331</v>
      </c>
      <c r="I43" s="55">
        <v>2929</v>
      </c>
      <c r="J43" s="93">
        <v>2526.5</v>
      </c>
      <c r="K43" s="93">
        <v>2436</v>
      </c>
      <c r="L43" s="93">
        <v>2370.5</v>
      </c>
    </row>
    <row r="44" spans="2:12">
      <c r="B44" s="54">
        <v>0.34375</v>
      </c>
      <c r="C44" s="55">
        <v>3730.25</v>
      </c>
      <c r="D44" s="93">
        <v>3566.4375</v>
      </c>
      <c r="E44" s="93">
        <v>3396.125</v>
      </c>
      <c r="F44" s="93">
        <v>3228.1875</v>
      </c>
      <c r="H44" s="54">
        <v>0.34375</v>
      </c>
      <c r="I44" s="55">
        <v>2962.25</v>
      </c>
      <c r="J44" s="93">
        <v>2544.5</v>
      </c>
      <c r="K44" s="93">
        <v>2454</v>
      </c>
      <c r="L44" s="93">
        <v>2382</v>
      </c>
    </row>
    <row r="45" spans="2:12">
      <c r="B45" s="54">
        <v>0.35416666666666669</v>
      </c>
      <c r="C45" s="55">
        <v>3726.5</v>
      </c>
      <c r="D45" s="93">
        <v>3558.875</v>
      </c>
      <c r="E45" s="93">
        <v>3405.25</v>
      </c>
      <c r="F45" s="93">
        <v>3237.375</v>
      </c>
      <c r="H45" s="54">
        <v>0.35416666666666669</v>
      </c>
      <c r="I45" s="55">
        <v>2995.5</v>
      </c>
      <c r="J45" s="93">
        <v>2562.5</v>
      </c>
      <c r="K45" s="93">
        <v>2472</v>
      </c>
      <c r="L45" s="93">
        <v>2393.5</v>
      </c>
    </row>
    <row r="46" spans="2:12">
      <c r="B46" s="54">
        <v>0.36458333333333331</v>
      </c>
      <c r="C46" s="55">
        <v>3722.75</v>
      </c>
      <c r="D46" s="93">
        <v>3551.3125</v>
      </c>
      <c r="E46" s="93">
        <v>3414.375</v>
      </c>
      <c r="F46" s="93">
        <v>3246.5625</v>
      </c>
      <c r="H46" s="54">
        <v>0.36458333333333331</v>
      </c>
      <c r="I46" s="55">
        <v>3028.75</v>
      </c>
      <c r="J46" s="93">
        <v>2580.5</v>
      </c>
      <c r="K46" s="93">
        <v>2490</v>
      </c>
      <c r="L46" s="93">
        <v>2405</v>
      </c>
    </row>
    <row r="47" spans="2:12">
      <c r="B47" s="54">
        <v>0.375</v>
      </c>
      <c r="C47" s="55">
        <v>3719</v>
      </c>
      <c r="D47" s="93">
        <v>3543.75</v>
      </c>
      <c r="E47" s="93">
        <v>3423.5</v>
      </c>
      <c r="F47" s="93">
        <v>3255.75</v>
      </c>
      <c r="H47" s="54">
        <v>0.375</v>
      </c>
      <c r="I47" s="55">
        <v>3062</v>
      </c>
      <c r="J47" s="93">
        <v>2598.5</v>
      </c>
      <c r="K47" s="93">
        <v>2508</v>
      </c>
      <c r="L47" s="93">
        <v>2416.5</v>
      </c>
    </row>
    <row r="48" spans="2:12">
      <c r="B48" s="54">
        <v>0.38541666666666669</v>
      </c>
      <c r="C48" s="55">
        <v>3691.75</v>
      </c>
      <c r="D48" s="93">
        <v>3520.1875</v>
      </c>
      <c r="E48" s="93">
        <v>3406.875</v>
      </c>
      <c r="F48" s="93">
        <v>3238.75</v>
      </c>
      <c r="H48" s="54">
        <v>0.38541666666666669</v>
      </c>
      <c r="I48" s="55">
        <v>3101.25</v>
      </c>
      <c r="J48" s="93">
        <v>2613.75</v>
      </c>
      <c r="K48" s="93">
        <v>2525.25</v>
      </c>
      <c r="L48" s="93">
        <v>2430.125</v>
      </c>
    </row>
    <row r="49" spans="2:12">
      <c r="B49" s="54">
        <v>0.39583333333333331</v>
      </c>
      <c r="C49" s="55">
        <v>3664.5</v>
      </c>
      <c r="D49" s="93">
        <v>3496.625</v>
      </c>
      <c r="E49" s="93">
        <v>3390.25</v>
      </c>
      <c r="F49" s="93">
        <v>3221.75</v>
      </c>
      <c r="H49" s="54">
        <v>0.39583333333333331</v>
      </c>
      <c r="I49" s="55">
        <v>3140.5</v>
      </c>
      <c r="J49" s="93">
        <v>2629</v>
      </c>
      <c r="K49" s="93">
        <v>2542.5</v>
      </c>
      <c r="L49" s="93">
        <v>2443.75</v>
      </c>
    </row>
    <row r="50" spans="2:12">
      <c r="B50" s="54">
        <v>0.40625</v>
      </c>
      <c r="C50" s="55">
        <v>3637.25</v>
      </c>
      <c r="D50" s="93">
        <v>3473.0625</v>
      </c>
      <c r="E50" s="93">
        <v>3373.625</v>
      </c>
      <c r="F50" s="93">
        <v>3204.75</v>
      </c>
      <c r="H50" s="54">
        <v>0.40625</v>
      </c>
      <c r="I50" s="55">
        <v>3179.75</v>
      </c>
      <c r="J50" s="93">
        <v>2644.25</v>
      </c>
      <c r="K50" s="93">
        <v>2559.75</v>
      </c>
      <c r="L50" s="93">
        <v>2457.375</v>
      </c>
    </row>
    <row r="51" spans="2:12">
      <c r="B51" s="54">
        <v>0.41666666666666669</v>
      </c>
      <c r="C51" s="55">
        <v>3610</v>
      </c>
      <c r="D51" s="93">
        <v>3449.5</v>
      </c>
      <c r="E51" s="93">
        <v>3357</v>
      </c>
      <c r="F51" s="93">
        <v>3187.75</v>
      </c>
      <c r="H51" s="54">
        <v>0.41666666666666669</v>
      </c>
      <c r="I51" s="55">
        <v>3219</v>
      </c>
      <c r="J51" s="93">
        <v>2659.5</v>
      </c>
      <c r="K51" s="93">
        <v>2577</v>
      </c>
      <c r="L51" s="93">
        <v>2471</v>
      </c>
    </row>
    <row r="52" spans="2:12">
      <c r="B52" s="54">
        <v>0.42708333333333331</v>
      </c>
      <c r="C52" s="55">
        <v>3588.25</v>
      </c>
      <c r="D52" s="93">
        <v>3429.6875</v>
      </c>
      <c r="E52" s="93">
        <v>3322.75</v>
      </c>
      <c r="F52" s="93">
        <v>3184.8125</v>
      </c>
      <c r="H52" s="54">
        <v>0.42708333333333331</v>
      </c>
      <c r="I52" s="55">
        <v>3266.75</v>
      </c>
      <c r="J52" s="93">
        <v>2681.375</v>
      </c>
      <c r="K52" s="93">
        <v>2593</v>
      </c>
      <c r="L52" s="93">
        <v>2481.875</v>
      </c>
    </row>
    <row r="53" spans="2:12">
      <c r="B53" s="54">
        <v>0.4375</v>
      </c>
      <c r="C53" s="55">
        <v>3566.5</v>
      </c>
      <c r="D53" s="93">
        <v>3409.875</v>
      </c>
      <c r="E53" s="93">
        <v>3288.5</v>
      </c>
      <c r="F53" s="93">
        <v>3181.875</v>
      </c>
      <c r="H53" s="54">
        <v>0.4375</v>
      </c>
      <c r="I53" s="55">
        <v>3314.5</v>
      </c>
      <c r="J53" s="93">
        <v>2703.25</v>
      </c>
      <c r="K53" s="93">
        <v>2609</v>
      </c>
      <c r="L53" s="93">
        <v>2492.75</v>
      </c>
    </row>
    <row r="54" spans="2:12">
      <c r="B54" s="54">
        <v>0.44791666666666669</v>
      </c>
      <c r="C54" s="55">
        <v>3544.75</v>
      </c>
      <c r="D54" s="93">
        <v>3390.0625</v>
      </c>
      <c r="E54" s="93">
        <v>3254.25</v>
      </c>
      <c r="F54" s="93">
        <v>3178.9375</v>
      </c>
      <c r="H54" s="54">
        <v>0.44791666666666669</v>
      </c>
      <c r="I54" s="55">
        <v>3362.25</v>
      </c>
      <c r="J54" s="93">
        <v>2725.125</v>
      </c>
      <c r="K54" s="93">
        <v>2625</v>
      </c>
      <c r="L54" s="93">
        <v>2503.625</v>
      </c>
    </row>
    <row r="55" spans="2:12">
      <c r="B55" s="54">
        <v>0.45833333333333331</v>
      </c>
      <c r="C55" s="55">
        <v>3523</v>
      </c>
      <c r="D55" s="93">
        <v>3370.25</v>
      </c>
      <c r="E55" s="93">
        <v>3220</v>
      </c>
      <c r="F55" s="93">
        <v>3176</v>
      </c>
      <c r="H55" s="54">
        <v>0.45833333333333331</v>
      </c>
      <c r="I55" s="55">
        <v>3410</v>
      </c>
      <c r="J55" s="93">
        <v>2747</v>
      </c>
      <c r="K55" s="93">
        <v>2641</v>
      </c>
      <c r="L55" s="93">
        <v>2514.5</v>
      </c>
    </row>
    <row r="56" spans="2:12">
      <c r="B56" s="54">
        <v>0.46875</v>
      </c>
      <c r="C56" s="55">
        <v>3506.25</v>
      </c>
      <c r="D56" s="93">
        <v>3336.25</v>
      </c>
      <c r="E56" s="93">
        <v>3209.75</v>
      </c>
      <c r="F56" s="93">
        <v>3149.3125</v>
      </c>
      <c r="H56" s="54">
        <v>0.46875</v>
      </c>
      <c r="I56" s="55">
        <v>3453.25</v>
      </c>
      <c r="J56" s="93">
        <v>2771.375</v>
      </c>
      <c r="K56" s="93">
        <v>2659</v>
      </c>
      <c r="L56" s="93">
        <v>2526.625</v>
      </c>
    </row>
    <row r="57" spans="2:12">
      <c r="B57" s="54">
        <v>0.47916666666666669</v>
      </c>
      <c r="C57" s="55">
        <v>3489.5</v>
      </c>
      <c r="D57" s="93">
        <v>3302.25</v>
      </c>
      <c r="E57" s="93">
        <v>3199.5</v>
      </c>
      <c r="F57" s="93">
        <v>3122.625</v>
      </c>
      <c r="H57" s="54">
        <v>0.47916666666666669</v>
      </c>
      <c r="I57" s="55">
        <v>3496.5</v>
      </c>
      <c r="J57" s="93">
        <v>2795.75</v>
      </c>
      <c r="K57" s="93">
        <v>2677</v>
      </c>
      <c r="L57" s="93">
        <v>2538.75</v>
      </c>
    </row>
    <row r="58" spans="2:12">
      <c r="B58" s="54">
        <v>0.48958333333333331</v>
      </c>
      <c r="C58" s="55">
        <v>3472.75</v>
      </c>
      <c r="D58" s="93">
        <v>3268.25</v>
      </c>
      <c r="E58" s="93">
        <v>3189.25</v>
      </c>
      <c r="F58" s="93">
        <v>3095.9375</v>
      </c>
      <c r="H58" s="54">
        <v>0.48958333333333331</v>
      </c>
      <c r="I58" s="55">
        <v>3539.75</v>
      </c>
      <c r="J58" s="93">
        <v>2820.125</v>
      </c>
      <c r="K58" s="93">
        <v>2695</v>
      </c>
      <c r="L58" s="93">
        <v>2550.875</v>
      </c>
    </row>
    <row r="59" spans="2:12">
      <c r="B59" s="54">
        <v>0.5</v>
      </c>
      <c r="C59" s="55">
        <v>3456</v>
      </c>
      <c r="D59" s="93">
        <v>3234.25</v>
      </c>
      <c r="E59" s="93">
        <v>3179</v>
      </c>
      <c r="F59" s="93">
        <v>3069.25</v>
      </c>
      <c r="H59" s="54">
        <v>0.5</v>
      </c>
      <c r="I59" s="55">
        <v>3583</v>
      </c>
      <c r="J59" s="93">
        <v>2844.5</v>
      </c>
      <c r="K59" s="93">
        <v>2713</v>
      </c>
      <c r="L59" s="93">
        <v>2563</v>
      </c>
    </row>
    <row r="60" spans="2:12">
      <c r="B60" s="54">
        <v>0.51041666666666663</v>
      </c>
      <c r="C60" s="55">
        <v>3443</v>
      </c>
      <c r="D60" s="93">
        <v>3240.625</v>
      </c>
      <c r="E60" s="93">
        <v>3160.75</v>
      </c>
      <c r="F60" s="93">
        <v>3047</v>
      </c>
      <c r="H60" s="54">
        <v>0.51041666666666663</v>
      </c>
      <c r="I60" s="55">
        <v>3635.75</v>
      </c>
      <c r="J60" s="93">
        <v>2877</v>
      </c>
      <c r="K60" s="93">
        <v>2739.75</v>
      </c>
      <c r="L60" s="93">
        <v>2575.5</v>
      </c>
    </row>
    <row r="61" spans="2:12">
      <c r="B61" s="54">
        <v>0.52083333333333337</v>
      </c>
      <c r="C61" s="55">
        <v>3430</v>
      </c>
      <c r="D61" s="93">
        <v>3247</v>
      </c>
      <c r="E61" s="93">
        <v>3142.5</v>
      </c>
      <c r="F61" s="93">
        <v>3024.75</v>
      </c>
      <c r="H61" s="54">
        <v>0.52083333333333337</v>
      </c>
      <c r="I61" s="55">
        <v>3688.5</v>
      </c>
      <c r="J61" s="93">
        <v>2909.5</v>
      </c>
      <c r="K61" s="93">
        <v>2766.5</v>
      </c>
      <c r="L61" s="93">
        <v>2588</v>
      </c>
    </row>
    <row r="62" spans="2:12">
      <c r="B62" s="54">
        <v>0.53125</v>
      </c>
      <c r="C62" s="55">
        <v>3417</v>
      </c>
      <c r="D62" s="93">
        <v>3253.375</v>
      </c>
      <c r="E62" s="93">
        <v>3124.25</v>
      </c>
      <c r="F62" s="93">
        <v>3002.5</v>
      </c>
      <c r="H62" s="54">
        <v>0.53125</v>
      </c>
      <c r="I62" s="55">
        <v>3741.25</v>
      </c>
      <c r="J62" s="93">
        <v>2942</v>
      </c>
      <c r="K62" s="93">
        <v>2793.25</v>
      </c>
      <c r="L62" s="93">
        <v>2600.5</v>
      </c>
    </row>
    <row r="63" spans="2:12">
      <c r="B63" s="54">
        <v>0.54166666666666663</v>
      </c>
      <c r="C63" s="55">
        <v>3404</v>
      </c>
      <c r="D63" s="93">
        <v>3259.75</v>
      </c>
      <c r="E63" s="93">
        <v>3106</v>
      </c>
      <c r="F63" s="93">
        <v>2980.25</v>
      </c>
      <c r="H63" s="54">
        <v>0.54166666666666663</v>
      </c>
      <c r="I63" s="55">
        <v>3794</v>
      </c>
      <c r="J63" s="93">
        <v>2974.5</v>
      </c>
      <c r="K63" s="93">
        <v>2820</v>
      </c>
      <c r="L63" s="93">
        <v>2613</v>
      </c>
    </row>
    <row r="64" spans="2:12">
      <c r="B64" s="54">
        <v>0.55208333333333337</v>
      </c>
      <c r="C64" s="55">
        <v>3404.75</v>
      </c>
      <c r="D64" s="93">
        <v>3249.25</v>
      </c>
      <c r="E64" s="93">
        <v>3085.625</v>
      </c>
      <c r="F64" s="93">
        <v>2963.4375</v>
      </c>
      <c r="H64" s="54">
        <v>0.55208333333333337</v>
      </c>
      <c r="I64" s="55">
        <v>3841.75</v>
      </c>
      <c r="J64" s="93">
        <v>3010.875</v>
      </c>
      <c r="K64" s="93">
        <v>2832.25</v>
      </c>
      <c r="L64" s="93">
        <v>2627.375</v>
      </c>
    </row>
    <row r="65" spans="2:12">
      <c r="B65" s="54">
        <v>0.5625</v>
      </c>
      <c r="C65" s="55">
        <v>3405.5</v>
      </c>
      <c r="D65" s="93">
        <v>3238.75</v>
      </c>
      <c r="E65" s="93">
        <v>3065.25</v>
      </c>
      <c r="F65" s="93">
        <v>2946.625</v>
      </c>
      <c r="H65" s="54">
        <v>0.5625</v>
      </c>
      <c r="I65" s="55">
        <v>3889.5</v>
      </c>
      <c r="J65" s="93">
        <v>3047.25</v>
      </c>
      <c r="K65" s="93">
        <v>2844.5</v>
      </c>
      <c r="L65" s="93">
        <v>2641.75</v>
      </c>
    </row>
    <row r="66" spans="2:12">
      <c r="B66" s="54">
        <v>0.57291666666666663</v>
      </c>
      <c r="C66" s="55">
        <v>3406.25</v>
      </c>
      <c r="D66" s="93">
        <v>3228.25</v>
      </c>
      <c r="E66" s="93">
        <v>3044.875</v>
      </c>
      <c r="F66" s="93">
        <v>2929.8125</v>
      </c>
      <c r="H66" s="54">
        <v>0.57291666666666663</v>
      </c>
      <c r="I66" s="55">
        <v>3937.25</v>
      </c>
      <c r="J66" s="93">
        <v>3083.625</v>
      </c>
      <c r="K66" s="93">
        <v>2856.75</v>
      </c>
      <c r="L66" s="93">
        <v>2656.125</v>
      </c>
    </row>
    <row r="67" spans="2:12">
      <c r="B67" s="54">
        <v>0.58333333333333337</v>
      </c>
      <c r="C67" s="55">
        <v>3407</v>
      </c>
      <c r="D67" s="93">
        <v>3217.75</v>
      </c>
      <c r="E67" s="93">
        <v>3024.5</v>
      </c>
      <c r="F67" s="93">
        <v>2913</v>
      </c>
      <c r="H67" s="54">
        <v>0.58333333333333337</v>
      </c>
      <c r="I67" s="55">
        <v>3985</v>
      </c>
      <c r="J67" s="93">
        <v>3120</v>
      </c>
      <c r="K67" s="93">
        <v>2869</v>
      </c>
      <c r="L67" s="93">
        <v>2670.5</v>
      </c>
    </row>
    <row r="68" spans="2:12">
      <c r="B68" s="54">
        <v>0.59375</v>
      </c>
      <c r="C68" s="55">
        <v>3392.25</v>
      </c>
      <c r="D68" s="93">
        <v>3203.4375</v>
      </c>
      <c r="E68" s="93">
        <v>3015.125</v>
      </c>
      <c r="F68" s="93">
        <v>2900.4375</v>
      </c>
      <c r="H68" s="54">
        <v>0.59375</v>
      </c>
      <c r="I68" s="55">
        <v>4021.75</v>
      </c>
      <c r="J68" s="93">
        <v>3157</v>
      </c>
      <c r="K68" s="93">
        <v>2897.5</v>
      </c>
      <c r="L68" s="93">
        <v>2686.875</v>
      </c>
    </row>
    <row r="69" spans="2:12">
      <c r="B69" s="54">
        <v>0.60416666666666663</v>
      </c>
      <c r="C69" s="55">
        <v>3377.5</v>
      </c>
      <c r="D69" s="93">
        <v>3189.125</v>
      </c>
      <c r="E69" s="93">
        <v>3005.75</v>
      </c>
      <c r="F69" s="93">
        <v>2887.875</v>
      </c>
      <c r="H69" s="54">
        <v>0.60416666666666663</v>
      </c>
      <c r="I69" s="55">
        <v>4058.5</v>
      </c>
      <c r="J69" s="93">
        <v>3194</v>
      </c>
      <c r="K69" s="93">
        <v>2926</v>
      </c>
      <c r="L69" s="93">
        <v>2703.25</v>
      </c>
    </row>
    <row r="70" spans="2:12">
      <c r="B70" s="54">
        <v>0.61458333333333337</v>
      </c>
      <c r="C70" s="55">
        <v>3362.75</v>
      </c>
      <c r="D70" s="93">
        <v>3174.8125</v>
      </c>
      <c r="E70" s="93">
        <v>2996.375</v>
      </c>
      <c r="F70" s="93">
        <v>2875.3125</v>
      </c>
      <c r="H70" s="54">
        <v>0.61458333333333337</v>
      </c>
      <c r="I70" s="55">
        <v>4095.25</v>
      </c>
      <c r="J70" s="93">
        <v>3231</v>
      </c>
      <c r="K70" s="93">
        <v>2954.5</v>
      </c>
      <c r="L70" s="93">
        <v>2719.625</v>
      </c>
    </row>
    <row r="71" spans="2:12">
      <c r="B71" s="54">
        <v>0.625</v>
      </c>
      <c r="C71" s="55">
        <v>3348</v>
      </c>
      <c r="D71" s="93">
        <v>3160.5</v>
      </c>
      <c r="E71" s="93">
        <v>2987</v>
      </c>
      <c r="F71" s="93">
        <v>2862.75</v>
      </c>
      <c r="H71" s="54">
        <v>0.625</v>
      </c>
      <c r="I71" s="55">
        <v>4132</v>
      </c>
      <c r="J71" s="93">
        <v>3268</v>
      </c>
      <c r="K71" s="93">
        <v>2983</v>
      </c>
      <c r="L71" s="93">
        <v>2736</v>
      </c>
    </row>
    <row r="72" spans="2:12">
      <c r="B72" s="54">
        <v>0.63541666666666663</v>
      </c>
      <c r="C72" s="55">
        <v>3347.75</v>
      </c>
      <c r="D72" s="93">
        <v>3169.125</v>
      </c>
      <c r="E72" s="93">
        <v>2999.375</v>
      </c>
      <c r="F72" s="93">
        <v>2878.625</v>
      </c>
      <c r="H72" s="54">
        <v>0.63541666666666663</v>
      </c>
      <c r="I72" s="55">
        <v>4166</v>
      </c>
      <c r="J72" s="93">
        <v>3305.25</v>
      </c>
      <c r="K72" s="93">
        <v>3021.75</v>
      </c>
      <c r="L72" s="93">
        <v>2760.75</v>
      </c>
    </row>
    <row r="73" spans="2:12">
      <c r="B73" s="54">
        <v>0.64583333333333337</v>
      </c>
      <c r="C73" s="55">
        <v>3347.5</v>
      </c>
      <c r="D73" s="93">
        <v>3177.75</v>
      </c>
      <c r="E73" s="93">
        <v>3011.75</v>
      </c>
      <c r="F73" s="93">
        <v>2894.5</v>
      </c>
      <c r="H73" s="54">
        <v>0.64583333333333337</v>
      </c>
      <c r="I73" s="55">
        <v>4200</v>
      </c>
      <c r="J73" s="93">
        <v>3342.5</v>
      </c>
      <c r="K73" s="93">
        <v>3060.5</v>
      </c>
      <c r="L73" s="93">
        <v>2785.5</v>
      </c>
    </row>
    <row r="74" spans="2:12">
      <c r="B74" s="54">
        <v>0.65625</v>
      </c>
      <c r="C74" s="55">
        <v>3347.25</v>
      </c>
      <c r="D74" s="93">
        <v>3186.375</v>
      </c>
      <c r="E74" s="93">
        <v>3024.125</v>
      </c>
      <c r="F74" s="93">
        <v>2910.375</v>
      </c>
      <c r="H74" s="54">
        <v>0.65625</v>
      </c>
      <c r="I74" s="55">
        <v>4234</v>
      </c>
      <c r="J74" s="93">
        <v>3379.75</v>
      </c>
      <c r="K74" s="93">
        <v>3099.25</v>
      </c>
      <c r="L74" s="93">
        <v>2810.25</v>
      </c>
    </row>
    <row r="75" spans="2:12">
      <c r="B75" s="54">
        <v>0.66666666666666663</v>
      </c>
      <c r="C75" s="55">
        <v>3347</v>
      </c>
      <c r="D75" s="93">
        <v>3195</v>
      </c>
      <c r="E75" s="93">
        <v>3036.5</v>
      </c>
      <c r="F75" s="93">
        <v>2926.25</v>
      </c>
      <c r="H75" s="54">
        <v>0.66666666666666663</v>
      </c>
      <c r="I75" s="55">
        <v>4268</v>
      </c>
      <c r="J75" s="93">
        <v>3417</v>
      </c>
      <c r="K75" s="93">
        <v>3138</v>
      </c>
      <c r="L75" s="93">
        <v>2835</v>
      </c>
    </row>
    <row r="76" spans="2:12">
      <c r="B76" s="54">
        <v>0.67708333333333337</v>
      </c>
      <c r="C76" s="55">
        <v>3364</v>
      </c>
      <c r="D76" s="93">
        <v>3220.25</v>
      </c>
      <c r="E76" s="93">
        <v>3072.125</v>
      </c>
      <c r="F76" s="93">
        <v>2960.0625</v>
      </c>
      <c r="H76" s="54">
        <v>0.67708333333333337</v>
      </c>
      <c r="I76" s="55">
        <v>4294</v>
      </c>
      <c r="J76" s="93">
        <v>3453.5</v>
      </c>
      <c r="K76" s="93">
        <v>3176.75</v>
      </c>
      <c r="L76" s="93">
        <v>2862.25</v>
      </c>
    </row>
    <row r="77" spans="2:12">
      <c r="B77" s="54">
        <v>0.6875</v>
      </c>
      <c r="C77" s="55">
        <v>3381</v>
      </c>
      <c r="D77" s="93">
        <v>3245.5</v>
      </c>
      <c r="E77" s="93">
        <v>3107.75</v>
      </c>
      <c r="F77" s="93">
        <v>2993.875</v>
      </c>
      <c r="H77" s="54">
        <v>0.6875</v>
      </c>
      <c r="I77" s="55">
        <v>4320</v>
      </c>
      <c r="J77" s="93">
        <v>3490</v>
      </c>
      <c r="K77" s="93">
        <v>3215.5</v>
      </c>
      <c r="L77" s="93">
        <v>2889.5</v>
      </c>
    </row>
    <row r="78" spans="2:12">
      <c r="B78" s="54">
        <v>0.69791666666666663</v>
      </c>
      <c r="C78" s="55">
        <v>3398</v>
      </c>
      <c r="D78" s="93">
        <v>3270.75</v>
      </c>
      <c r="E78" s="93">
        <v>3143.375</v>
      </c>
      <c r="F78" s="93">
        <v>3027.6875</v>
      </c>
      <c r="H78" s="54">
        <v>0.69791666666666663</v>
      </c>
      <c r="I78" s="55">
        <v>4346</v>
      </c>
      <c r="J78" s="93">
        <v>3526.5</v>
      </c>
      <c r="K78" s="93">
        <v>3254.25</v>
      </c>
      <c r="L78" s="93">
        <v>2916.75</v>
      </c>
    </row>
    <row r="79" spans="2:12">
      <c r="B79" s="54">
        <v>0.70833333333333337</v>
      </c>
      <c r="C79" s="55">
        <v>3415</v>
      </c>
      <c r="D79" s="93">
        <v>3296</v>
      </c>
      <c r="E79" s="94">
        <v>3179</v>
      </c>
      <c r="F79" s="93">
        <v>3061.5</v>
      </c>
      <c r="H79" s="54">
        <v>0.70833333333333337</v>
      </c>
      <c r="I79" s="55">
        <v>4372</v>
      </c>
      <c r="J79" s="93">
        <v>3563</v>
      </c>
      <c r="K79" s="94">
        <v>3293</v>
      </c>
      <c r="L79" s="93">
        <v>2944</v>
      </c>
    </row>
    <row r="80" spans="2:12">
      <c r="B80" s="54">
        <v>0.71875</v>
      </c>
      <c r="C80" s="55">
        <v>3445.75</v>
      </c>
      <c r="D80" s="93">
        <v>3337.3125</v>
      </c>
      <c r="E80" s="93">
        <v>3227.625</v>
      </c>
      <c r="F80" s="93">
        <v>3107.25</v>
      </c>
      <c r="H80" s="54">
        <v>0.71875</v>
      </c>
      <c r="I80" s="55">
        <v>4363.25</v>
      </c>
      <c r="J80" s="93">
        <v>3591.5</v>
      </c>
      <c r="K80" s="93">
        <v>3324.5</v>
      </c>
      <c r="L80" s="93">
        <v>2971.75</v>
      </c>
    </row>
    <row r="81" spans="2:12">
      <c r="B81" s="54">
        <v>0.72916666666666663</v>
      </c>
      <c r="C81" s="55">
        <v>3476.5</v>
      </c>
      <c r="D81" s="93">
        <v>3378.625</v>
      </c>
      <c r="E81" s="93">
        <v>3276.25</v>
      </c>
      <c r="F81" s="93">
        <v>3153</v>
      </c>
      <c r="H81" s="54">
        <v>0.72916666666666663</v>
      </c>
      <c r="I81" s="55">
        <v>4354.5</v>
      </c>
      <c r="J81" s="93">
        <v>3620</v>
      </c>
      <c r="K81" s="93">
        <v>3356</v>
      </c>
      <c r="L81" s="93">
        <v>2999.5</v>
      </c>
    </row>
    <row r="82" spans="2:12">
      <c r="B82" s="54">
        <v>0.73958333333333337</v>
      </c>
      <c r="C82" s="55">
        <v>3507.25</v>
      </c>
      <c r="D82" s="93">
        <v>3419.9375</v>
      </c>
      <c r="E82" s="93">
        <v>3324.875</v>
      </c>
      <c r="F82" s="93">
        <v>3198.75</v>
      </c>
      <c r="H82" s="54">
        <v>0.73958333333333337</v>
      </c>
      <c r="I82" s="55">
        <v>4345.75</v>
      </c>
      <c r="J82" s="93">
        <v>3648.5</v>
      </c>
      <c r="K82" s="93">
        <v>3387.5</v>
      </c>
      <c r="L82" s="93">
        <v>3027.25</v>
      </c>
    </row>
    <row r="83" spans="2:12">
      <c r="B83" s="54">
        <v>0.75</v>
      </c>
      <c r="C83" s="55">
        <v>3538</v>
      </c>
      <c r="D83" s="93">
        <v>3461.25</v>
      </c>
      <c r="E83" s="93">
        <v>3373.5</v>
      </c>
      <c r="F83" s="93">
        <v>3244.5</v>
      </c>
      <c r="H83" s="54">
        <v>0.75</v>
      </c>
      <c r="I83" s="55">
        <v>4337</v>
      </c>
      <c r="J83" s="93">
        <v>3677</v>
      </c>
      <c r="K83" s="93">
        <v>3419</v>
      </c>
      <c r="L83" s="93">
        <v>3055</v>
      </c>
    </row>
    <row r="84" spans="2:12">
      <c r="B84" s="54">
        <v>0.76041666666666663</v>
      </c>
      <c r="C84" s="55">
        <v>3531.25</v>
      </c>
      <c r="D84" s="93">
        <v>3460.1875</v>
      </c>
      <c r="E84" s="93">
        <v>3377.5</v>
      </c>
      <c r="F84" s="93">
        <v>3250.25</v>
      </c>
      <c r="H84" s="54">
        <v>0.76041666666666663</v>
      </c>
      <c r="I84" s="55">
        <v>4346.5</v>
      </c>
      <c r="J84" s="93">
        <v>3685.5</v>
      </c>
      <c r="K84" s="93">
        <v>3429.5</v>
      </c>
      <c r="L84" s="93">
        <v>3068.875</v>
      </c>
    </row>
    <row r="85" spans="2:12">
      <c r="B85" s="54">
        <v>0.77083333333333337</v>
      </c>
      <c r="C85" s="55">
        <v>3524.5</v>
      </c>
      <c r="D85" s="93">
        <v>3459.125</v>
      </c>
      <c r="E85" s="93">
        <v>3381.5</v>
      </c>
      <c r="F85" s="93">
        <v>3256</v>
      </c>
      <c r="H85" s="54">
        <v>0.77083333333333337</v>
      </c>
      <c r="I85" s="55">
        <v>4356</v>
      </c>
      <c r="J85" s="93">
        <v>3694</v>
      </c>
      <c r="K85" s="93">
        <v>3440</v>
      </c>
      <c r="L85" s="93">
        <v>3082.75</v>
      </c>
    </row>
    <row r="86" spans="2:12">
      <c r="B86" s="54">
        <v>0.78125</v>
      </c>
      <c r="C86" s="55">
        <v>3517.75</v>
      </c>
      <c r="D86" s="93">
        <v>3458.0625</v>
      </c>
      <c r="E86" s="93">
        <v>3385.5</v>
      </c>
      <c r="F86" s="93">
        <v>3261.75</v>
      </c>
      <c r="H86" s="54">
        <v>0.78125</v>
      </c>
      <c r="I86" s="55">
        <v>4365.5</v>
      </c>
      <c r="J86" s="93">
        <v>3702.5</v>
      </c>
      <c r="K86" s="93">
        <v>3450.5</v>
      </c>
      <c r="L86" s="93">
        <v>3096.625</v>
      </c>
    </row>
    <row r="87" spans="2:12">
      <c r="B87" s="54">
        <v>0.79166666666666663</v>
      </c>
      <c r="C87" s="55">
        <v>3511</v>
      </c>
      <c r="D87" s="93">
        <v>3457</v>
      </c>
      <c r="E87" s="93">
        <v>3389.5</v>
      </c>
      <c r="F87" s="93">
        <v>3267.5</v>
      </c>
      <c r="H87" s="54">
        <v>0.79166666666666663</v>
      </c>
      <c r="I87" s="55">
        <v>4375</v>
      </c>
      <c r="J87" s="93">
        <v>3711</v>
      </c>
      <c r="K87" s="93">
        <v>3461</v>
      </c>
      <c r="L87" s="93">
        <v>3110.5</v>
      </c>
    </row>
    <row r="88" spans="2:12">
      <c r="B88" s="54">
        <v>0.80208333333333337</v>
      </c>
      <c r="C88" s="55">
        <v>3502.5</v>
      </c>
      <c r="D88" s="93">
        <v>3440.25</v>
      </c>
      <c r="E88" s="93">
        <v>3376</v>
      </c>
      <c r="F88" s="93">
        <v>3255.6875</v>
      </c>
      <c r="H88" s="54">
        <v>0.80208333333333337</v>
      </c>
      <c r="I88" s="55">
        <v>4362.5</v>
      </c>
      <c r="J88" s="93">
        <v>3703</v>
      </c>
      <c r="K88" s="93">
        <v>3454.75</v>
      </c>
      <c r="L88" s="93">
        <v>3096.875</v>
      </c>
    </row>
    <row r="89" spans="2:12">
      <c r="B89" s="54">
        <v>0.8125</v>
      </c>
      <c r="C89" s="55">
        <v>3494</v>
      </c>
      <c r="D89" s="93">
        <v>3423.5</v>
      </c>
      <c r="E89" s="93">
        <v>3362.5</v>
      </c>
      <c r="F89" s="93">
        <v>3243.875</v>
      </c>
      <c r="H89" s="54">
        <v>0.8125</v>
      </c>
      <c r="I89" s="55">
        <v>4350</v>
      </c>
      <c r="J89" s="93">
        <v>3695</v>
      </c>
      <c r="K89" s="93">
        <v>3448.5</v>
      </c>
      <c r="L89" s="93">
        <v>3083.25</v>
      </c>
    </row>
    <row r="90" spans="2:12">
      <c r="B90" s="54">
        <v>0.82291666666666663</v>
      </c>
      <c r="C90" s="55">
        <v>3485.5</v>
      </c>
      <c r="D90" s="93">
        <v>3406.75</v>
      </c>
      <c r="E90" s="93">
        <v>3349</v>
      </c>
      <c r="F90" s="93">
        <v>3232.0625</v>
      </c>
      <c r="H90" s="54">
        <v>0.82291666666666663</v>
      </c>
      <c r="I90" s="55">
        <v>4337.5</v>
      </c>
      <c r="J90" s="93">
        <v>3687</v>
      </c>
      <c r="K90" s="93">
        <v>3442.25</v>
      </c>
      <c r="L90" s="93">
        <v>3069.625</v>
      </c>
    </row>
    <row r="91" spans="2:12">
      <c r="B91" s="54">
        <v>0.83333333333333337</v>
      </c>
      <c r="C91" s="55">
        <v>3477</v>
      </c>
      <c r="D91" s="93">
        <v>3390</v>
      </c>
      <c r="E91" s="93">
        <v>3335.5</v>
      </c>
      <c r="F91" s="93">
        <v>3220.25</v>
      </c>
      <c r="H91" s="54">
        <v>0.83333333333333337</v>
      </c>
      <c r="I91" s="55">
        <v>4325</v>
      </c>
      <c r="J91" s="93">
        <v>3679</v>
      </c>
      <c r="K91" s="93">
        <v>3436</v>
      </c>
      <c r="L91" s="93">
        <v>3056</v>
      </c>
    </row>
    <row r="92" spans="2:12">
      <c r="B92" s="54">
        <v>0.84375</v>
      </c>
      <c r="C92" s="55">
        <v>3460.75</v>
      </c>
      <c r="D92" s="93">
        <v>3365.625</v>
      </c>
      <c r="E92" s="93">
        <v>3319.375</v>
      </c>
      <c r="F92" s="93">
        <v>3200.75</v>
      </c>
      <c r="H92" s="54">
        <v>0.84375</v>
      </c>
      <c r="I92" s="55">
        <v>4300</v>
      </c>
      <c r="J92" s="93">
        <v>3641.375</v>
      </c>
      <c r="K92" s="93">
        <v>3408.5</v>
      </c>
      <c r="L92" s="93">
        <v>3024.5</v>
      </c>
    </row>
    <row r="93" spans="2:12">
      <c r="B93" s="54">
        <v>0.85416666666666663</v>
      </c>
      <c r="C93" s="55">
        <v>3444.5</v>
      </c>
      <c r="D93" s="93">
        <v>3341.25</v>
      </c>
      <c r="E93" s="93">
        <v>3303.25</v>
      </c>
      <c r="F93" s="93">
        <v>3181.25</v>
      </c>
      <c r="H93" s="54">
        <v>0.85416666666666663</v>
      </c>
      <c r="I93" s="55">
        <v>4275</v>
      </c>
      <c r="J93" s="93">
        <v>3603.75</v>
      </c>
      <c r="K93" s="93">
        <v>3381</v>
      </c>
      <c r="L93" s="93">
        <v>2993</v>
      </c>
    </row>
    <row r="94" spans="2:12">
      <c r="B94" s="54">
        <v>0.86458333333333337</v>
      </c>
      <c r="C94" s="55">
        <v>3428.25</v>
      </c>
      <c r="D94" s="93">
        <v>3316.875</v>
      </c>
      <c r="E94" s="93">
        <v>3287.125</v>
      </c>
      <c r="F94" s="93">
        <v>3161.75</v>
      </c>
      <c r="H94" s="54">
        <v>0.86458333333333337</v>
      </c>
      <c r="I94" s="55">
        <v>4250</v>
      </c>
      <c r="J94" s="93">
        <v>3566.125</v>
      </c>
      <c r="K94" s="93">
        <v>3353.5</v>
      </c>
      <c r="L94" s="93">
        <v>2961.5</v>
      </c>
    </row>
    <row r="95" spans="2:12">
      <c r="B95" s="54">
        <v>0.875</v>
      </c>
      <c r="C95" s="55">
        <v>3412</v>
      </c>
      <c r="D95" s="93">
        <v>3292.5</v>
      </c>
      <c r="E95" s="93">
        <v>3271</v>
      </c>
      <c r="F95" s="93">
        <v>3142.25</v>
      </c>
      <c r="H95" s="54">
        <v>0.875</v>
      </c>
      <c r="I95" s="55">
        <v>4225</v>
      </c>
      <c r="J95" s="93">
        <v>3528.5</v>
      </c>
      <c r="K95" s="93">
        <v>3326</v>
      </c>
      <c r="L95" s="93">
        <v>2930</v>
      </c>
    </row>
    <row r="96" spans="2:12">
      <c r="B96" s="54">
        <v>0.88541666666666663</v>
      </c>
      <c r="C96" s="55">
        <v>3382.75</v>
      </c>
      <c r="D96" s="93">
        <v>3261.3125</v>
      </c>
      <c r="E96" s="93">
        <v>3238.25</v>
      </c>
      <c r="F96" s="93">
        <v>3111.4375</v>
      </c>
      <c r="H96" s="54">
        <v>0.88541666666666663</v>
      </c>
      <c r="I96" s="55">
        <v>4175.25</v>
      </c>
      <c r="J96" s="93">
        <v>3492</v>
      </c>
      <c r="K96" s="93">
        <v>3287.75</v>
      </c>
      <c r="L96" s="93">
        <v>2904.625</v>
      </c>
    </row>
    <row r="97" spans="2:12">
      <c r="B97" s="95">
        <v>0.89583333333333337</v>
      </c>
      <c r="C97" s="55">
        <v>3353.5</v>
      </c>
      <c r="D97" s="93">
        <v>3230.125</v>
      </c>
      <c r="E97" s="93">
        <v>3205.5</v>
      </c>
      <c r="F97" s="93">
        <v>3080.625</v>
      </c>
      <c r="H97" s="95">
        <v>0.89583333333333337</v>
      </c>
      <c r="I97" s="55">
        <v>4125.5</v>
      </c>
      <c r="J97" s="93">
        <v>3455.5</v>
      </c>
      <c r="K97" s="93">
        <v>3249.5</v>
      </c>
      <c r="L97" s="93">
        <v>2879.25</v>
      </c>
    </row>
    <row r="98" spans="2:12">
      <c r="B98" s="54">
        <v>0.90625</v>
      </c>
      <c r="C98" s="55">
        <v>3324.25</v>
      </c>
      <c r="D98" s="93">
        <v>3198.9375</v>
      </c>
      <c r="E98" s="93">
        <v>3172.75</v>
      </c>
      <c r="F98" s="93">
        <v>3049.8125</v>
      </c>
      <c r="H98" s="54">
        <v>0.90625</v>
      </c>
      <c r="I98" s="55">
        <v>4075.75</v>
      </c>
      <c r="J98" s="93">
        <v>3419</v>
      </c>
      <c r="K98" s="93">
        <v>3211.25</v>
      </c>
      <c r="L98" s="93">
        <v>2853.875</v>
      </c>
    </row>
    <row r="99" spans="2:12">
      <c r="B99" s="54">
        <v>0.91666666666666663</v>
      </c>
      <c r="C99" s="55">
        <v>3295</v>
      </c>
      <c r="D99" s="93">
        <v>3167.75</v>
      </c>
      <c r="E99" s="93">
        <v>3140</v>
      </c>
      <c r="F99" s="93">
        <v>3019</v>
      </c>
      <c r="H99" s="54">
        <v>0.91666666666666663</v>
      </c>
      <c r="I99" s="55">
        <v>4026</v>
      </c>
      <c r="J99" s="93">
        <v>3382.5</v>
      </c>
      <c r="K99" s="93">
        <v>3173</v>
      </c>
      <c r="L99" s="93">
        <v>2828.5</v>
      </c>
    </row>
    <row r="100" spans="2:12">
      <c r="B100" s="54">
        <v>0.92708333333333337</v>
      </c>
      <c r="C100" s="55">
        <v>3246.5</v>
      </c>
      <c r="D100" s="93">
        <v>3119.875</v>
      </c>
      <c r="E100" s="93">
        <v>3088.75</v>
      </c>
      <c r="F100" s="93">
        <v>2971.1875</v>
      </c>
      <c r="H100" s="54">
        <v>0.92708333333333337</v>
      </c>
      <c r="I100" s="55">
        <v>3956</v>
      </c>
      <c r="J100" s="93">
        <v>3319.875</v>
      </c>
      <c r="K100" s="93">
        <v>3109.25</v>
      </c>
      <c r="L100" s="93">
        <v>2778</v>
      </c>
    </row>
    <row r="101" spans="2:12">
      <c r="B101" s="54">
        <v>0.9375</v>
      </c>
      <c r="C101" s="55">
        <v>3198</v>
      </c>
      <c r="D101" s="93">
        <v>3072</v>
      </c>
      <c r="E101" s="93">
        <v>3037.5</v>
      </c>
      <c r="F101" s="93">
        <v>2923.375</v>
      </c>
      <c r="H101" s="54">
        <v>0.9375</v>
      </c>
      <c r="I101" s="55">
        <v>3886</v>
      </c>
      <c r="J101" s="93">
        <v>3257.25</v>
      </c>
      <c r="K101" s="93">
        <v>3045.5</v>
      </c>
      <c r="L101" s="93">
        <v>2727.5</v>
      </c>
    </row>
    <row r="102" spans="2:12">
      <c r="B102" s="54">
        <v>0.94791666666666663</v>
      </c>
      <c r="C102" s="55">
        <v>3149.5</v>
      </c>
      <c r="D102" s="93">
        <v>3024.125</v>
      </c>
      <c r="E102" s="93">
        <v>2986.25</v>
      </c>
      <c r="F102" s="93">
        <v>2875.5625</v>
      </c>
      <c r="H102" s="54">
        <v>0.94791666666666663</v>
      </c>
      <c r="I102" s="55">
        <v>3816</v>
      </c>
      <c r="J102" s="93">
        <v>3194.625</v>
      </c>
      <c r="K102" s="93">
        <v>2981.75</v>
      </c>
      <c r="L102" s="93">
        <v>2677</v>
      </c>
    </row>
    <row r="103" spans="2:12">
      <c r="B103" s="54">
        <v>0.95833333333333337</v>
      </c>
      <c r="C103" s="55">
        <v>3101</v>
      </c>
      <c r="D103" s="93">
        <v>2976.25</v>
      </c>
      <c r="E103" s="93">
        <v>2935</v>
      </c>
      <c r="F103" s="93">
        <v>2827.75</v>
      </c>
      <c r="H103" s="54">
        <v>0.95833333333333337</v>
      </c>
      <c r="I103" s="55">
        <v>3746</v>
      </c>
      <c r="J103" s="93">
        <v>3132</v>
      </c>
      <c r="K103" s="93">
        <v>2918</v>
      </c>
      <c r="L103" s="93">
        <v>2626.5</v>
      </c>
    </row>
    <row r="104" spans="2:12">
      <c r="B104" s="54">
        <v>0.96875</v>
      </c>
      <c r="C104" s="55">
        <v>3059.75</v>
      </c>
      <c r="D104" s="93">
        <v>2932.0625</v>
      </c>
      <c r="E104" s="93">
        <v>2886.125</v>
      </c>
      <c r="F104" s="93">
        <v>2782.3125</v>
      </c>
      <c r="H104" s="54">
        <v>0.96875</v>
      </c>
      <c r="I104" s="55">
        <v>3661.25</v>
      </c>
      <c r="J104" s="93">
        <v>3038.5</v>
      </c>
      <c r="K104" s="93">
        <v>2825.5</v>
      </c>
      <c r="L104" s="93">
        <v>2563.625</v>
      </c>
    </row>
    <row r="105" spans="2:12">
      <c r="B105" s="54">
        <v>0.97916666666666663</v>
      </c>
      <c r="C105" s="55">
        <v>3018.5</v>
      </c>
      <c r="D105" s="93">
        <v>2887.875</v>
      </c>
      <c r="E105" s="93">
        <v>2837.25</v>
      </c>
      <c r="F105" s="93">
        <v>2736.875</v>
      </c>
      <c r="H105" s="54">
        <v>0.97916666666666663</v>
      </c>
      <c r="I105" s="55">
        <v>3576.5</v>
      </c>
      <c r="J105" s="93">
        <v>2945</v>
      </c>
      <c r="K105" s="93">
        <v>2733</v>
      </c>
      <c r="L105" s="93">
        <v>2500.75</v>
      </c>
    </row>
    <row r="106" spans="2:12">
      <c r="B106" s="54">
        <v>0.98958333333333337</v>
      </c>
      <c r="C106" s="55">
        <v>2977.25</v>
      </c>
      <c r="D106" s="93">
        <v>2843.6875</v>
      </c>
      <c r="E106" s="93">
        <v>2788.375</v>
      </c>
      <c r="F106" s="93">
        <v>2691.4375</v>
      </c>
      <c r="H106" s="54">
        <v>0.98958333333333337</v>
      </c>
      <c r="I106" s="55">
        <v>3491.75</v>
      </c>
      <c r="J106" s="93">
        <v>2851.5</v>
      </c>
      <c r="K106" s="93">
        <v>2640.5</v>
      </c>
      <c r="L106" s="93">
        <v>2437.875</v>
      </c>
    </row>
    <row r="107" spans="2:12">
      <c r="B107" s="81"/>
    </row>
    <row r="108" spans="2:12">
      <c r="B108" s="81"/>
    </row>
    <row r="116" spans="6:9">
      <c r="F116" s="96"/>
      <c r="G116" s="96"/>
      <c r="H116" s="96"/>
      <c r="I116" s="96"/>
    </row>
    <row r="117" spans="6:9">
      <c r="F117" s="96"/>
      <c r="G117" s="96"/>
      <c r="H117" s="96"/>
      <c r="I117" s="96"/>
    </row>
    <row r="118" spans="6:9">
      <c r="F118" s="96"/>
      <c r="G118" s="96"/>
      <c r="H118" s="96"/>
      <c r="I118" s="96"/>
    </row>
    <row r="119" spans="6:9">
      <c r="F119" s="96"/>
      <c r="G119" s="96"/>
      <c r="H119" s="96"/>
      <c r="I119" s="96"/>
    </row>
    <row r="120" spans="6:9">
      <c r="F120" s="96"/>
      <c r="G120" s="96"/>
      <c r="H120" s="96"/>
      <c r="I120" s="96"/>
    </row>
    <row r="121" spans="6:9">
      <c r="F121" s="96"/>
      <c r="G121" s="96"/>
      <c r="H121" s="96"/>
      <c r="I121" s="96"/>
    </row>
    <row r="122" spans="6:9">
      <c r="F122" s="96"/>
      <c r="G122" s="96"/>
      <c r="H122" s="96"/>
      <c r="I122" s="96"/>
    </row>
    <row r="123" spans="6:9">
      <c r="F123" s="96"/>
      <c r="G123" s="96"/>
      <c r="H123" s="96"/>
      <c r="I123" s="96"/>
    </row>
    <row r="124" spans="6:9">
      <c r="F124" s="96"/>
      <c r="G124" s="96"/>
      <c r="H124" s="96"/>
      <c r="I124" s="96"/>
    </row>
    <row r="125" spans="6:9">
      <c r="F125" s="96"/>
      <c r="G125" s="96"/>
      <c r="H125" s="96"/>
      <c r="I125" s="96"/>
    </row>
    <row r="126" spans="6:9">
      <c r="F126" s="96"/>
      <c r="G126" s="96"/>
      <c r="H126" s="96"/>
      <c r="I126" s="96"/>
    </row>
    <row r="127" spans="6:9">
      <c r="F127" s="96"/>
      <c r="G127" s="96"/>
      <c r="H127" s="96"/>
      <c r="I127" s="96"/>
    </row>
    <row r="128" spans="6:9">
      <c r="F128" s="96"/>
      <c r="G128" s="96"/>
      <c r="H128" s="96"/>
      <c r="I128" s="96"/>
    </row>
    <row r="129" spans="6:9">
      <c r="F129" s="96"/>
      <c r="G129" s="96"/>
      <c r="H129" s="96"/>
      <c r="I129" s="96"/>
    </row>
    <row r="130" spans="6:9">
      <c r="F130" s="96"/>
      <c r="G130" s="96"/>
      <c r="H130" s="96"/>
      <c r="I130" s="96"/>
    </row>
    <row r="131" spans="6:9">
      <c r="F131" s="96"/>
      <c r="G131" s="96"/>
      <c r="H131" s="96"/>
      <c r="I131" s="96"/>
    </row>
    <row r="132" spans="6:9">
      <c r="F132" s="96"/>
      <c r="G132" s="96"/>
      <c r="H132" s="96"/>
      <c r="I132" s="96"/>
    </row>
    <row r="133" spans="6:9">
      <c r="F133" s="96"/>
      <c r="G133" s="96"/>
      <c r="H133" s="96"/>
      <c r="I133" s="96"/>
    </row>
    <row r="134" spans="6:9">
      <c r="F134" s="96"/>
      <c r="G134" s="96"/>
      <c r="H134" s="96"/>
      <c r="I134" s="96"/>
    </row>
    <row r="135" spans="6:9">
      <c r="F135" s="96"/>
      <c r="G135" s="96"/>
      <c r="H135" s="96"/>
      <c r="I135" s="96"/>
    </row>
    <row r="136" spans="6:9">
      <c r="F136" s="96"/>
      <c r="G136" s="96"/>
      <c r="H136" s="96"/>
      <c r="I136" s="96"/>
    </row>
    <row r="137" spans="6:9">
      <c r="F137" s="96"/>
      <c r="G137" s="96"/>
      <c r="H137" s="96"/>
      <c r="I137" s="96"/>
    </row>
    <row r="138" spans="6:9">
      <c r="F138" s="96"/>
      <c r="G138" s="96"/>
      <c r="H138" s="96"/>
      <c r="I138" s="96"/>
    </row>
    <row r="139" spans="6:9">
      <c r="F139" s="96"/>
      <c r="G139" s="96"/>
      <c r="H139" s="96"/>
      <c r="I139" s="96"/>
    </row>
    <row r="140" spans="6:9">
      <c r="F140" s="96"/>
      <c r="G140" s="96"/>
      <c r="H140" s="96"/>
      <c r="I140" s="96"/>
    </row>
    <row r="141" spans="6:9">
      <c r="F141" s="96"/>
      <c r="G141" s="96"/>
      <c r="H141" s="96"/>
      <c r="I141" s="96"/>
    </row>
    <row r="142" spans="6:9">
      <c r="F142" s="96"/>
      <c r="G142" s="96"/>
      <c r="H142" s="96"/>
      <c r="I142" s="96"/>
    </row>
    <row r="143" spans="6:9">
      <c r="F143" s="96"/>
      <c r="G143" s="96"/>
      <c r="H143" s="96"/>
      <c r="I143" s="96"/>
    </row>
    <row r="144" spans="6:9">
      <c r="F144" s="96"/>
      <c r="G144" s="96"/>
      <c r="H144" s="96"/>
      <c r="I144" s="96"/>
    </row>
    <row r="145" spans="6:9">
      <c r="F145" s="96"/>
      <c r="G145" s="96"/>
      <c r="H145" s="96"/>
      <c r="I145" s="96"/>
    </row>
    <row r="146" spans="6:9">
      <c r="F146" s="96"/>
      <c r="G146" s="96"/>
      <c r="H146" s="96"/>
      <c r="I146" s="96"/>
    </row>
    <row r="147" spans="6:9">
      <c r="F147" s="96"/>
      <c r="G147" s="96"/>
      <c r="H147" s="96"/>
      <c r="I147" s="96"/>
    </row>
    <row r="148" spans="6:9">
      <c r="F148" s="96"/>
      <c r="G148" s="96"/>
      <c r="H148" s="96"/>
      <c r="I148" s="96"/>
    </row>
    <row r="149" spans="6:9">
      <c r="F149" s="96"/>
      <c r="G149" s="96"/>
      <c r="H149" s="96"/>
      <c r="I149" s="96"/>
    </row>
    <row r="150" spans="6:9">
      <c r="F150" s="96"/>
      <c r="G150" s="96"/>
      <c r="H150" s="96"/>
      <c r="I150" s="96"/>
    </row>
    <row r="151" spans="6:9">
      <c r="F151" s="96"/>
      <c r="G151" s="96"/>
      <c r="H151" s="96"/>
      <c r="I151" s="96"/>
    </row>
    <row r="152" spans="6:9">
      <c r="F152" s="96"/>
      <c r="G152" s="96"/>
      <c r="H152" s="96"/>
      <c r="I152" s="96"/>
    </row>
    <row r="153" spans="6:9">
      <c r="F153" s="96"/>
      <c r="G153" s="96"/>
      <c r="H153" s="96"/>
      <c r="I153" s="96"/>
    </row>
    <row r="154" spans="6:9">
      <c r="F154" s="96"/>
      <c r="G154" s="96"/>
      <c r="H154" s="96"/>
      <c r="I154" s="96"/>
    </row>
    <row r="155" spans="6:9">
      <c r="F155" s="96"/>
      <c r="G155" s="96"/>
      <c r="H155" s="96"/>
      <c r="I155" s="96"/>
    </row>
    <row r="156" spans="6:9">
      <c r="F156" s="96"/>
      <c r="G156" s="96"/>
      <c r="H156" s="96"/>
      <c r="I156" s="96"/>
    </row>
    <row r="157" spans="6:9">
      <c r="F157" s="96"/>
      <c r="G157" s="96"/>
      <c r="H157" s="96"/>
      <c r="I157" s="96"/>
    </row>
    <row r="158" spans="6:9">
      <c r="F158" s="96"/>
      <c r="G158" s="96"/>
      <c r="H158" s="96"/>
      <c r="I158" s="96"/>
    </row>
    <row r="159" spans="6:9">
      <c r="F159" s="96"/>
      <c r="G159" s="96"/>
      <c r="H159" s="96"/>
      <c r="I159" s="96"/>
    </row>
    <row r="160" spans="6:9">
      <c r="F160" s="96"/>
      <c r="G160" s="96"/>
      <c r="H160" s="96"/>
      <c r="I160" s="96"/>
    </row>
    <row r="161" spans="6:9">
      <c r="F161" s="96"/>
      <c r="G161" s="96"/>
      <c r="H161" s="96"/>
      <c r="I161" s="96"/>
    </row>
    <row r="162" spans="6:9">
      <c r="F162" s="96"/>
      <c r="G162" s="96"/>
      <c r="H162" s="96"/>
      <c r="I162" s="96"/>
    </row>
    <row r="163" spans="6:9">
      <c r="F163" s="96"/>
      <c r="G163" s="96"/>
      <c r="H163" s="96"/>
      <c r="I163" s="96"/>
    </row>
    <row r="164" spans="6:9">
      <c r="F164" s="96"/>
      <c r="G164" s="96"/>
      <c r="H164" s="96"/>
      <c r="I164" s="96"/>
    </row>
    <row r="165" spans="6:9">
      <c r="F165" s="96"/>
      <c r="G165" s="96"/>
      <c r="H165" s="96"/>
      <c r="I165" s="96"/>
    </row>
    <row r="166" spans="6:9">
      <c r="F166" s="96"/>
      <c r="G166" s="96"/>
      <c r="H166" s="96"/>
      <c r="I166" s="96"/>
    </row>
    <row r="167" spans="6:9">
      <c r="F167" s="96"/>
      <c r="G167" s="96"/>
      <c r="H167" s="96"/>
      <c r="I167" s="96"/>
    </row>
    <row r="168" spans="6:9">
      <c r="F168" s="96"/>
      <c r="G168" s="96"/>
      <c r="H168" s="96"/>
      <c r="I168" s="96"/>
    </row>
    <row r="169" spans="6:9">
      <c r="F169" s="96"/>
      <c r="G169" s="96"/>
      <c r="H169" s="96"/>
      <c r="I169" s="96"/>
    </row>
    <row r="170" spans="6:9">
      <c r="F170" s="96"/>
      <c r="G170" s="96"/>
      <c r="H170" s="96"/>
      <c r="I170" s="96"/>
    </row>
    <row r="171" spans="6:9">
      <c r="F171" s="96"/>
      <c r="G171" s="96"/>
      <c r="H171" s="96"/>
      <c r="I171" s="96"/>
    </row>
    <row r="172" spans="6:9">
      <c r="F172" s="96"/>
      <c r="G172" s="96"/>
      <c r="H172" s="96"/>
      <c r="I172" s="96"/>
    </row>
    <row r="173" spans="6:9">
      <c r="F173" s="96"/>
      <c r="G173" s="96"/>
      <c r="H173" s="96"/>
      <c r="I173" s="96"/>
    </row>
    <row r="174" spans="6:9">
      <c r="F174" s="96"/>
      <c r="G174" s="96"/>
      <c r="H174" s="96"/>
      <c r="I174" s="96"/>
    </row>
    <row r="175" spans="6:9">
      <c r="F175" s="96"/>
      <c r="G175" s="96"/>
      <c r="H175" s="96"/>
      <c r="I175" s="96"/>
    </row>
    <row r="176" spans="6:9">
      <c r="F176" s="96"/>
      <c r="G176" s="96"/>
      <c r="H176" s="96"/>
      <c r="I176" s="96"/>
    </row>
    <row r="177" spans="6:9">
      <c r="F177" s="96"/>
      <c r="G177" s="96"/>
      <c r="H177" s="96"/>
      <c r="I177" s="96"/>
    </row>
    <row r="178" spans="6:9">
      <c r="F178" s="96"/>
      <c r="G178" s="96"/>
      <c r="H178" s="96"/>
      <c r="I178" s="96"/>
    </row>
    <row r="179" spans="6:9">
      <c r="F179" s="96"/>
      <c r="G179" s="96"/>
      <c r="H179" s="96"/>
      <c r="I179" s="96"/>
    </row>
    <row r="180" spans="6:9">
      <c r="F180" s="96"/>
      <c r="G180" s="96"/>
      <c r="H180" s="96"/>
      <c r="I180" s="96"/>
    </row>
    <row r="181" spans="6:9">
      <c r="F181" s="96"/>
      <c r="G181" s="96"/>
      <c r="H181" s="96"/>
      <c r="I181" s="96"/>
    </row>
    <row r="182" spans="6:9">
      <c r="F182" s="96"/>
      <c r="G182" s="96"/>
      <c r="H182" s="96"/>
      <c r="I182" s="96"/>
    </row>
    <row r="183" spans="6:9">
      <c r="F183" s="96"/>
      <c r="G183" s="96"/>
      <c r="H183" s="96"/>
      <c r="I183" s="96"/>
    </row>
    <row r="184" spans="6:9">
      <c r="F184" s="96"/>
      <c r="G184" s="96"/>
      <c r="H184" s="96"/>
      <c r="I184" s="96"/>
    </row>
    <row r="185" spans="6:9">
      <c r="F185" s="96"/>
      <c r="G185" s="96"/>
      <c r="H185" s="96"/>
      <c r="I185" s="96"/>
    </row>
    <row r="186" spans="6:9">
      <c r="F186" s="96"/>
      <c r="G186" s="96"/>
      <c r="H186" s="96"/>
      <c r="I186" s="96"/>
    </row>
    <row r="187" spans="6:9">
      <c r="F187" s="96"/>
      <c r="G187" s="96"/>
      <c r="H187" s="96"/>
      <c r="I187" s="96"/>
    </row>
    <row r="188" spans="6:9">
      <c r="F188" s="96"/>
      <c r="G188" s="96"/>
      <c r="H188" s="96"/>
      <c r="I188" s="96"/>
    </row>
    <row r="189" spans="6:9">
      <c r="F189" s="96"/>
      <c r="G189" s="96"/>
      <c r="H189" s="96"/>
      <c r="I189" s="96"/>
    </row>
    <row r="190" spans="6:9">
      <c r="F190" s="96"/>
      <c r="G190" s="96"/>
      <c r="H190" s="96"/>
      <c r="I190" s="96"/>
    </row>
    <row r="191" spans="6:9">
      <c r="F191" s="96"/>
      <c r="G191" s="96"/>
      <c r="H191" s="96"/>
      <c r="I191" s="96"/>
    </row>
    <row r="192" spans="6:9">
      <c r="F192" s="96"/>
      <c r="G192" s="96"/>
      <c r="H192" s="96"/>
      <c r="I192" s="96"/>
    </row>
    <row r="193" spans="6:9">
      <c r="F193" s="96"/>
      <c r="G193" s="96"/>
      <c r="H193" s="96"/>
      <c r="I193" s="96"/>
    </row>
    <row r="194" spans="6:9">
      <c r="F194" s="96"/>
      <c r="G194" s="96"/>
      <c r="H194" s="96"/>
      <c r="I194" s="96"/>
    </row>
    <row r="195" spans="6:9">
      <c r="F195" s="96"/>
      <c r="G195" s="96"/>
      <c r="H195" s="96"/>
      <c r="I195" s="96"/>
    </row>
    <row r="196" spans="6:9">
      <c r="F196" s="96"/>
      <c r="G196" s="96"/>
      <c r="H196" s="96"/>
      <c r="I196" s="96"/>
    </row>
    <row r="197" spans="6:9">
      <c r="F197" s="96"/>
      <c r="G197" s="96"/>
      <c r="H197" s="96"/>
      <c r="I197" s="96"/>
    </row>
    <row r="198" spans="6:9">
      <c r="F198" s="96"/>
      <c r="G198" s="96"/>
      <c r="H198" s="96"/>
      <c r="I198" s="96"/>
    </row>
    <row r="199" spans="6:9">
      <c r="F199" s="96"/>
      <c r="G199" s="96"/>
      <c r="H199" s="96"/>
      <c r="I199" s="96"/>
    </row>
    <row r="200" spans="6:9">
      <c r="F200" s="96"/>
      <c r="G200" s="96"/>
      <c r="H200" s="96"/>
      <c r="I200" s="96"/>
    </row>
    <row r="201" spans="6:9">
      <c r="F201" s="96"/>
      <c r="G201" s="96"/>
      <c r="H201" s="96"/>
      <c r="I201" s="96"/>
    </row>
    <row r="202" spans="6:9">
      <c r="F202" s="96"/>
      <c r="G202" s="96"/>
      <c r="H202" s="96"/>
      <c r="I202" s="96"/>
    </row>
    <row r="203" spans="6:9">
      <c r="F203" s="96"/>
      <c r="G203" s="96"/>
      <c r="H203" s="96"/>
      <c r="I203" s="96"/>
    </row>
    <row r="204" spans="6:9">
      <c r="F204" s="96"/>
      <c r="G204" s="96"/>
      <c r="H204" s="96"/>
      <c r="I204" s="96"/>
    </row>
    <row r="205" spans="6:9">
      <c r="F205" s="96"/>
      <c r="G205" s="96"/>
      <c r="H205" s="96"/>
      <c r="I205" s="96"/>
    </row>
    <row r="206" spans="6:9">
      <c r="F206" s="96"/>
      <c r="G206" s="96"/>
      <c r="H206" s="96"/>
      <c r="I206" s="96"/>
    </row>
    <row r="207" spans="6:9">
      <c r="F207" s="96"/>
      <c r="G207" s="96"/>
      <c r="H207" s="96"/>
      <c r="I207" s="96"/>
    </row>
    <row r="208" spans="6:9">
      <c r="F208" s="96"/>
      <c r="G208" s="96"/>
      <c r="H208" s="96"/>
      <c r="I208" s="96"/>
    </row>
    <row r="209" spans="6:9">
      <c r="F209" s="96"/>
      <c r="G209" s="96"/>
      <c r="H209" s="96"/>
      <c r="I209" s="96"/>
    </row>
    <row r="210" spans="6:9">
      <c r="F210" s="96"/>
      <c r="G210" s="96"/>
      <c r="H210" s="96"/>
      <c r="I210" s="96"/>
    </row>
    <row r="211" spans="6:9">
      <c r="F211" s="96"/>
      <c r="G211" s="96"/>
      <c r="H211" s="96"/>
      <c r="I211" s="96"/>
    </row>
  </sheetData>
  <mergeCells count="13">
    <mergeCell ref="B6:B7"/>
    <mergeCell ref="H6:H7"/>
    <mergeCell ref="B9:F9"/>
    <mergeCell ref="H9:L9"/>
    <mergeCell ref="B1:D1"/>
    <mergeCell ref="H1:J1"/>
    <mergeCell ref="C2:D2"/>
    <mergeCell ref="I2:J2"/>
    <mergeCell ref="N2:P4"/>
    <mergeCell ref="C3:D3"/>
    <mergeCell ref="I3:J3"/>
    <mergeCell ref="C4:D4"/>
    <mergeCell ref="I4:J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0CE96-320F-491F-BE5A-220403576748}">
  <sheetPr codeName="Sheet8"/>
  <dimension ref="B2:R63"/>
  <sheetViews>
    <sheetView workbookViewId="0">
      <selection activeCell="E6" sqref="E6"/>
    </sheetView>
  </sheetViews>
  <sheetFormatPr defaultRowHeight="15"/>
  <cols>
    <col min="1" max="2" width="3.7109375" style="176" customWidth="1"/>
    <col min="3" max="3" width="14.5703125" style="176" bestFit="1" customWidth="1"/>
    <col min="4" max="4" width="35.7109375" style="176" customWidth="1"/>
    <col min="5" max="5" width="10.5703125" style="176" bestFit="1" customWidth="1"/>
    <col min="6" max="8" width="3.7109375" style="176" customWidth="1"/>
    <col min="9" max="9" width="14.5703125" style="176" bestFit="1" customWidth="1"/>
    <col min="10" max="10" width="35.7109375" style="176" customWidth="1"/>
    <col min="11" max="11" width="9.28515625" style="176" customWidth="1"/>
    <col min="12" max="14" width="3.7109375" style="176" customWidth="1"/>
    <col min="15" max="15" width="14.5703125" style="176" bestFit="1" customWidth="1"/>
    <col min="16" max="16" width="35.7109375" style="176" customWidth="1"/>
    <col min="17" max="17" width="9.28515625" style="176" customWidth="1"/>
    <col min="18" max="18" width="3.7109375" style="176" customWidth="1"/>
    <col min="19" max="16384" width="9.140625" style="176"/>
  </cols>
  <sheetData>
    <row r="2" spans="2:18" ht="15.75" thickBot="1">
      <c r="B2" s="174"/>
      <c r="C2" s="175"/>
      <c r="D2" s="175"/>
      <c r="E2" s="175"/>
      <c r="F2" s="174"/>
      <c r="H2" s="174"/>
      <c r="I2" s="175"/>
      <c r="J2" s="175"/>
      <c r="K2" s="175"/>
      <c r="L2" s="174"/>
      <c r="N2" s="174"/>
      <c r="O2" s="175"/>
      <c r="P2" s="175"/>
      <c r="Q2" s="175"/>
      <c r="R2" s="174"/>
    </row>
    <row r="3" spans="2:18" ht="15.75" thickBot="1">
      <c r="B3" s="174"/>
      <c r="C3" s="318" t="s">
        <v>71</v>
      </c>
      <c r="D3" s="319"/>
      <c r="E3" s="320"/>
      <c r="F3" s="174"/>
      <c r="H3" s="174"/>
      <c r="I3" s="318" t="s">
        <v>71</v>
      </c>
      <c r="J3" s="319"/>
      <c r="K3" s="320"/>
      <c r="L3" s="174"/>
      <c r="N3" s="174"/>
      <c r="O3" s="318" t="s">
        <v>71</v>
      </c>
      <c r="P3" s="319"/>
      <c r="Q3" s="320"/>
      <c r="R3" s="174"/>
    </row>
    <row r="4" spans="2:18" ht="15.75" thickBot="1">
      <c r="B4" s="174"/>
      <c r="C4" s="318" t="s">
        <v>2</v>
      </c>
      <c r="D4" s="319"/>
      <c r="E4" s="320"/>
      <c r="F4" s="174"/>
      <c r="H4" s="174"/>
      <c r="I4" s="318" t="s">
        <v>126</v>
      </c>
      <c r="J4" s="319"/>
      <c r="K4" s="320"/>
      <c r="L4" s="174"/>
      <c r="N4" s="174"/>
      <c r="O4" s="318" t="s">
        <v>95</v>
      </c>
      <c r="P4" s="319"/>
      <c r="Q4" s="320"/>
      <c r="R4" s="174"/>
    </row>
    <row r="5" spans="2:18" ht="15.75" thickBot="1">
      <c r="B5" s="174"/>
      <c r="C5" s="321" t="s">
        <v>72</v>
      </c>
      <c r="D5" s="322"/>
      <c r="E5" s="323"/>
      <c r="F5" s="174"/>
      <c r="H5" s="174"/>
      <c r="I5" s="321" t="s">
        <v>72</v>
      </c>
      <c r="J5" s="322"/>
      <c r="K5" s="323"/>
      <c r="L5" s="174"/>
      <c r="N5" s="174"/>
      <c r="O5" s="321" t="s">
        <v>72</v>
      </c>
      <c r="P5" s="322"/>
      <c r="Q5" s="323"/>
      <c r="R5" s="174"/>
    </row>
    <row r="6" spans="2:18">
      <c r="B6" s="174"/>
      <c r="C6" s="324" t="s">
        <v>16</v>
      </c>
      <c r="D6" s="177" t="s">
        <v>4</v>
      </c>
      <c r="E6" s="178">
        <f>Lookup!G4 +Lookup!G5</f>
        <v>4.95</v>
      </c>
      <c r="F6" s="174"/>
      <c r="H6" s="174"/>
      <c r="I6" s="324" t="s">
        <v>16</v>
      </c>
      <c r="J6" s="177" t="s">
        <v>4</v>
      </c>
      <c r="K6" s="178">
        <f>Lookup!G25+Lookup!G26</f>
        <v>4.95</v>
      </c>
      <c r="L6" s="174"/>
      <c r="N6" s="174"/>
      <c r="O6" s="324" t="s">
        <v>16</v>
      </c>
      <c r="P6" s="177" t="s">
        <v>4</v>
      </c>
      <c r="Q6" s="178">
        <f>Lookup!G46</f>
        <v>1</v>
      </c>
      <c r="R6" s="174"/>
    </row>
    <row r="7" spans="2:18">
      <c r="B7" s="174"/>
      <c r="C7" s="325"/>
      <c r="D7" s="221" t="s">
        <v>172</v>
      </c>
      <c r="E7" s="179">
        <f>Lookup!G6</f>
        <v>0.45</v>
      </c>
      <c r="F7" s="174"/>
      <c r="H7" s="174"/>
      <c r="I7" s="325"/>
      <c r="J7" s="221" t="s">
        <v>172</v>
      </c>
      <c r="K7" s="179"/>
      <c r="L7" s="174"/>
      <c r="N7" s="174"/>
      <c r="O7" s="325"/>
      <c r="P7" s="221" t="s">
        <v>172</v>
      </c>
      <c r="Q7" s="179"/>
      <c r="R7" s="174"/>
    </row>
    <row r="8" spans="2:18" ht="15.75" thickBot="1">
      <c r="B8" s="174"/>
      <c r="C8" s="326"/>
      <c r="D8" s="222" t="s">
        <v>173</v>
      </c>
      <c r="E8" s="180">
        <f>Lookup!G7</f>
        <v>0.45</v>
      </c>
      <c r="F8" s="174"/>
      <c r="H8" s="174"/>
      <c r="I8" s="326"/>
      <c r="J8" s="222" t="s">
        <v>173</v>
      </c>
      <c r="K8" s="180"/>
      <c r="L8" s="174"/>
      <c r="N8" s="174"/>
      <c r="O8" s="326"/>
      <c r="P8" s="222" t="s">
        <v>173</v>
      </c>
      <c r="Q8" s="180"/>
      <c r="R8" s="174"/>
    </row>
    <row r="9" spans="2:18">
      <c r="B9" s="174"/>
      <c r="C9" s="327" t="s">
        <v>17</v>
      </c>
      <c r="D9" s="177" t="s">
        <v>49</v>
      </c>
      <c r="E9" s="181">
        <f>Lookup!G13</f>
        <v>120</v>
      </c>
      <c r="F9" s="174"/>
      <c r="H9" s="174"/>
      <c r="I9" s="327" t="s">
        <v>17</v>
      </c>
      <c r="J9" s="177" t="s">
        <v>49</v>
      </c>
      <c r="K9" s="181">
        <f>Lookup!G34</f>
        <v>30</v>
      </c>
      <c r="L9" s="174"/>
      <c r="N9" s="174"/>
      <c r="O9" s="327" t="s">
        <v>17</v>
      </c>
      <c r="P9" s="177" t="s">
        <v>49</v>
      </c>
      <c r="Q9" s="181">
        <f>Lookup!G55</f>
        <v>1</v>
      </c>
      <c r="R9" s="174"/>
    </row>
    <row r="10" spans="2:18">
      <c r="B10" s="174"/>
      <c r="C10" s="328"/>
      <c r="D10" s="204" t="s">
        <v>18</v>
      </c>
      <c r="E10" s="182">
        <v>120</v>
      </c>
      <c r="F10" s="174"/>
      <c r="H10" s="174"/>
      <c r="I10" s="328"/>
      <c r="J10" s="204" t="s">
        <v>18</v>
      </c>
      <c r="K10" s="183">
        <f>(8.34 * Lookup!G29 *(Lookup!G30 - Lookup!G31)) / Lookup!G33</f>
        <v>10550.1</v>
      </c>
      <c r="L10" s="174"/>
      <c r="N10" s="174"/>
      <c r="O10" s="328"/>
      <c r="P10" s="204" t="s">
        <v>18</v>
      </c>
      <c r="Q10" s="184">
        <f>(8.34 * Lookup!G8 *(Lookup!G9 - Lookup!G10)) / Lookup!G12</f>
        <v>10550.1</v>
      </c>
      <c r="R10" s="174"/>
    </row>
    <row r="11" spans="2:18" ht="15.75" thickBot="1">
      <c r="B11" s="174"/>
      <c r="C11" s="329"/>
      <c r="D11" s="185" t="s">
        <v>50</v>
      </c>
      <c r="E11" s="188">
        <f>Lookup!G14</f>
        <v>120</v>
      </c>
      <c r="F11" s="174"/>
      <c r="H11" s="174"/>
      <c r="I11" s="326"/>
      <c r="J11" s="185" t="s">
        <v>50</v>
      </c>
      <c r="K11" s="180"/>
      <c r="L11" s="174"/>
      <c r="N11" s="174"/>
      <c r="O11" s="326"/>
      <c r="P11" s="185" t="s">
        <v>50</v>
      </c>
      <c r="Q11" s="180"/>
      <c r="R11" s="174"/>
    </row>
    <row r="12" spans="2:18">
      <c r="B12" s="174"/>
      <c r="C12" s="330" t="s">
        <v>10</v>
      </c>
      <c r="D12" s="189" t="s">
        <v>11</v>
      </c>
      <c r="E12" s="178" t="str">
        <f>Lookup!G15</f>
        <v>Yes</v>
      </c>
      <c r="F12" s="174"/>
      <c r="H12" s="174"/>
      <c r="I12" s="330" t="s">
        <v>10</v>
      </c>
      <c r="J12" s="189" t="s">
        <v>11</v>
      </c>
      <c r="K12" s="178" t="str">
        <f>Lookup!G36</f>
        <v>Yes</v>
      </c>
      <c r="L12" s="174"/>
      <c r="N12" s="174"/>
      <c r="O12" s="330" t="s">
        <v>10</v>
      </c>
      <c r="P12" s="189" t="s">
        <v>11</v>
      </c>
      <c r="Q12" s="178" t="str">
        <f>Lookup!G57</f>
        <v>No</v>
      </c>
      <c r="R12" s="174"/>
    </row>
    <row r="13" spans="2:18">
      <c r="B13" s="174"/>
      <c r="C13" s="328"/>
      <c r="D13" s="190" t="s">
        <v>13</v>
      </c>
      <c r="E13" s="179" t="str">
        <f>Lookup!G16</f>
        <v>Yes</v>
      </c>
      <c r="F13" s="174"/>
      <c r="H13" s="174"/>
      <c r="I13" s="328"/>
      <c r="J13" s="190" t="s">
        <v>13</v>
      </c>
      <c r="K13" s="179" t="str">
        <f>Lookup!G37</f>
        <v>Yes</v>
      </c>
      <c r="L13" s="174"/>
      <c r="N13" s="174"/>
      <c r="O13" s="328"/>
      <c r="P13" s="190" t="s">
        <v>13</v>
      </c>
      <c r="Q13" s="179" t="str">
        <f>Lookup!G58</f>
        <v>No</v>
      </c>
      <c r="R13" s="174"/>
    </row>
    <row r="14" spans="2:18">
      <c r="B14" s="174"/>
      <c r="C14" s="328"/>
      <c r="D14" s="190" t="s">
        <v>14</v>
      </c>
      <c r="E14" s="179" t="str">
        <f>Lookup!G17</f>
        <v>Yes</v>
      </c>
      <c r="F14" s="174"/>
      <c r="H14" s="174"/>
      <c r="I14" s="328"/>
      <c r="J14" s="190" t="s">
        <v>14</v>
      </c>
      <c r="K14" s="179" t="str">
        <f>Lookup!G38</f>
        <v>Yes</v>
      </c>
      <c r="L14" s="174"/>
      <c r="N14" s="174"/>
      <c r="O14" s="328"/>
      <c r="P14" s="190" t="s">
        <v>14</v>
      </c>
      <c r="Q14" s="179" t="str">
        <f>Lookup!G59</f>
        <v>No</v>
      </c>
      <c r="R14" s="174"/>
    </row>
    <row r="15" spans="2:18" ht="15.75" thickBot="1">
      <c r="B15" s="174"/>
      <c r="C15" s="331"/>
      <c r="D15" s="191" t="s">
        <v>15</v>
      </c>
      <c r="E15" s="180" t="str">
        <f>Lookup!G18</f>
        <v>Yes</v>
      </c>
      <c r="F15" s="174"/>
      <c r="H15" s="174"/>
      <c r="I15" s="331"/>
      <c r="J15" s="191" t="s">
        <v>15</v>
      </c>
      <c r="K15" s="180" t="str">
        <f>Lookup!G39</f>
        <v>Yes</v>
      </c>
      <c r="L15" s="174"/>
      <c r="N15" s="174"/>
      <c r="O15" s="331"/>
      <c r="P15" s="191" t="s">
        <v>15</v>
      </c>
      <c r="Q15" s="180" t="str">
        <f>Lookup!G60</f>
        <v>No</v>
      </c>
      <c r="R15" s="174"/>
    </row>
    <row r="16" spans="2:18">
      <c r="B16" s="174"/>
      <c r="C16" s="330" t="s">
        <v>5</v>
      </c>
      <c r="D16" s="192" t="s">
        <v>12</v>
      </c>
      <c r="E16" s="178" t="str">
        <f>Lookup!G19</f>
        <v>Yes</v>
      </c>
      <c r="F16" s="174"/>
      <c r="H16" s="174"/>
      <c r="I16" s="330" t="s">
        <v>5</v>
      </c>
      <c r="J16" s="192" t="s">
        <v>12</v>
      </c>
      <c r="K16" s="178" t="str">
        <f>Lookup!G40</f>
        <v>Yes</v>
      </c>
      <c r="L16" s="174"/>
      <c r="N16" s="174"/>
      <c r="O16" s="330" t="s">
        <v>5</v>
      </c>
      <c r="P16" s="192" t="s">
        <v>12</v>
      </c>
      <c r="Q16" s="178" t="str">
        <f>Lookup!G61</f>
        <v>No</v>
      </c>
      <c r="R16" s="174"/>
    </row>
    <row r="17" spans="2:18">
      <c r="B17" s="174"/>
      <c r="C17" s="328"/>
      <c r="D17" s="190" t="s">
        <v>6</v>
      </c>
      <c r="E17" s="179" t="str">
        <f>Lookup!G20</f>
        <v>Yes</v>
      </c>
      <c r="F17" s="174"/>
      <c r="H17" s="174"/>
      <c r="I17" s="328"/>
      <c r="J17" s="190" t="s">
        <v>6</v>
      </c>
      <c r="K17" s="179" t="str">
        <f>Lookup!G41</f>
        <v>Yes</v>
      </c>
      <c r="L17" s="174"/>
      <c r="N17" s="174"/>
      <c r="O17" s="328"/>
      <c r="P17" s="190" t="s">
        <v>6</v>
      </c>
      <c r="Q17" s="179" t="str">
        <f>Lookup!G62</f>
        <v>No</v>
      </c>
      <c r="R17" s="174"/>
    </row>
    <row r="18" spans="2:18">
      <c r="B18" s="174"/>
      <c r="C18" s="328"/>
      <c r="D18" s="190" t="s">
        <v>7</v>
      </c>
      <c r="E18" s="179" t="str">
        <f>Lookup!G21</f>
        <v>Yes</v>
      </c>
      <c r="F18" s="174"/>
      <c r="H18" s="174"/>
      <c r="I18" s="328"/>
      <c r="J18" s="190" t="s">
        <v>7</v>
      </c>
      <c r="K18" s="179" t="str">
        <f>Lookup!G42</f>
        <v>Yes</v>
      </c>
      <c r="L18" s="174"/>
      <c r="N18" s="174"/>
      <c r="O18" s="328"/>
      <c r="P18" s="190" t="s">
        <v>7</v>
      </c>
      <c r="Q18" s="179" t="str">
        <f>Lookup!G63</f>
        <v>No</v>
      </c>
      <c r="R18" s="174"/>
    </row>
    <row r="19" spans="2:18">
      <c r="B19" s="174"/>
      <c r="C19" s="328"/>
      <c r="D19" s="190" t="s">
        <v>8</v>
      </c>
      <c r="E19" s="179" t="str">
        <f>Lookup!G22</f>
        <v>Yes</v>
      </c>
      <c r="F19" s="174"/>
      <c r="H19" s="174"/>
      <c r="I19" s="328"/>
      <c r="J19" s="190" t="s">
        <v>8</v>
      </c>
      <c r="K19" s="179" t="str">
        <f>Lookup!G43</f>
        <v>Yes</v>
      </c>
      <c r="L19" s="174"/>
      <c r="N19" s="174"/>
      <c r="O19" s="328"/>
      <c r="P19" s="190" t="s">
        <v>8</v>
      </c>
      <c r="Q19" s="179" t="str">
        <f>Lookup!G64</f>
        <v>No</v>
      </c>
      <c r="R19" s="174"/>
    </row>
    <row r="20" spans="2:18" ht="15.75" thickBot="1">
      <c r="B20" s="174"/>
      <c r="C20" s="331"/>
      <c r="D20" s="191" t="s">
        <v>9</v>
      </c>
      <c r="E20" s="180" t="str">
        <f>Lookup!G23</f>
        <v>Yes</v>
      </c>
      <c r="F20" s="174"/>
      <c r="H20" s="174"/>
      <c r="I20" s="331"/>
      <c r="J20" s="191" t="s">
        <v>9</v>
      </c>
      <c r="K20" s="180" t="str">
        <f>Lookup!G44</f>
        <v>Yes</v>
      </c>
      <c r="L20" s="174"/>
      <c r="N20" s="174"/>
      <c r="O20" s="331"/>
      <c r="P20" s="191" t="s">
        <v>9</v>
      </c>
      <c r="Q20" s="180" t="str">
        <f>Lookup!G65</f>
        <v>No</v>
      </c>
      <c r="R20" s="174"/>
    </row>
    <row r="21" spans="2:18">
      <c r="B21" s="174"/>
      <c r="C21" s="174"/>
      <c r="D21" s="174"/>
      <c r="E21" s="174"/>
      <c r="F21" s="174"/>
      <c r="H21" s="174"/>
      <c r="I21" s="186"/>
      <c r="J21" s="186"/>
      <c r="K21" s="186"/>
      <c r="L21" s="174"/>
      <c r="N21" s="174"/>
      <c r="O21" s="186"/>
      <c r="P21" s="186"/>
      <c r="Q21" s="186"/>
      <c r="R21" s="174"/>
    </row>
    <row r="23" spans="2:18" ht="15.75" thickBot="1">
      <c r="B23" s="174"/>
      <c r="C23" s="175"/>
      <c r="D23" s="175"/>
      <c r="E23" s="175"/>
      <c r="F23" s="174"/>
      <c r="H23" s="174"/>
      <c r="I23" s="175"/>
      <c r="J23" s="175"/>
      <c r="K23" s="175"/>
      <c r="L23" s="174"/>
      <c r="N23" s="174"/>
      <c r="O23" s="175"/>
      <c r="P23" s="175"/>
      <c r="Q23" s="175"/>
      <c r="R23" s="174"/>
    </row>
    <row r="24" spans="2:18" ht="15.75" thickBot="1">
      <c r="B24" s="174"/>
      <c r="C24" s="318" t="s">
        <v>71</v>
      </c>
      <c r="D24" s="319"/>
      <c r="E24" s="320"/>
      <c r="F24" s="174"/>
      <c r="H24" s="174"/>
      <c r="I24" s="318" t="s">
        <v>71</v>
      </c>
      <c r="J24" s="319"/>
      <c r="K24" s="320"/>
      <c r="L24" s="174"/>
      <c r="N24" s="174"/>
      <c r="O24" s="318" t="s">
        <v>71</v>
      </c>
      <c r="P24" s="319"/>
      <c r="Q24" s="320"/>
      <c r="R24" s="174"/>
    </row>
    <row r="25" spans="2:18" ht="15.75" thickBot="1">
      <c r="B25" s="174"/>
      <c r="C25" s="318" t="s">
        <v>93</v>
      </c>
      <c r="D25" s="319"/>
      <c r="E25" s="320"/>
      <c r="F25" s="174"/>
      <c r="H25" s="174"/>
      <c r="I25" s="318" t="s">
        <v>94</v>
      </c>
      <c r="J25" s="319"/>
      <c r="K25" s="320"/>
      <c r="L25" s="174"/>
      <c r="N25" s="174"/>
      <c r="O25" s="318" t="s">
        <v>96</v>
      </c>
      <c r="P25" s="319"/>
      <c r="Q25" s="320"/>
      <c r="R25" s="174"/>
    </row>
    <row r="26" spans="2:18" ht="15.75" thickBot="1">
      <c r="B26" s="174"/>
      <c r="C26" s="321" t="s">
        <v>72</v>
      </c>
      <c r="D26" s="322"/>
      <c r="E26" s="323"/>
      <c r="F26" s="174"/>
      <c r="H26" s="174"/>
      <c r="I26" s="321" t="s">
        <v>72</v>
      </c>
      <c r="J26" s="322"/>
      <c r="K26" s="323"/>
      <c r="L26" s="174"/>
      <c r="N26" s="174"/>
      <c r="O26" s="321" t="s">
        <v>72</v>
      </c>
      <c r="P26" s="322"/>
      <c r="Q26" s="323"/>
      <c r="R26" s="174"/>
    </row>
    <row r="27" spans="2:18">
      <c r="B27" s="174"/>
      <c r="C27" s="324" t="s">
        <v>16</v>
      </c>
      <c r="D27" s="177" t="s">
        <v>4</v>
      </c>
      <c r="E27" s="178">
        <f>Lookup!G67</f>
        <v>1</v>
      </c>
      <c r="F27" s="174"/>
      <c r="H27" s="174"/>
      <c r="I27" s="324" t="s">
        <v>16</v>
      </c>
      <c r="J27" s="177" t="s">
        <v>4</v>
      </c>
      <c r="K27" s="178">
        <f>Lookup!G88</f>
        <v>1</v>
      </c>
      <c r="L27" s="174"/>
      <c r="N27" s="174"/>
      <c r="O27" s="324" t="s">
        <v>16</v>
      </c>
      <c r="P27" s="177" t="s">
        <v>4</v>
      </c>
      <c r="Q27" s="178">
        <f>Lookup!G109</f>
        <v>1</v>
      </c>
      <c r="R27" s="174"/>
    </row>
    <row r="28" spans="2:18">
      <c r="B28" s="174"/>
      <c r="C28" s="325"/>
      <c r="D28" s="221" t="s">
        <v>172</v>
      </c>
      <c r="E28" s="179"/>
      <c r="F28" s="174"/>
      <c r="H28" s="174"/>
      <c r="I28" s="325"/>
      <c r="J28" s="221" t="s">
        <v>172</v>
      </c>
      <c r="K28" s="179"/>
      <c r="L28" s="174"/>
      <c r="N28" s="174"/>
      <c r="O28" s="325"/>
      <c r="P28" s="221" t="s">
        <v>172</v>
      </c>
      <c r="Q28" s="179"/>
      <c r="R28" s="174"/>
    </row>
    <row r="29" spans="2:18" ht="15.75" thickBot="1">
      <c r="B29" s="174"/>
      <c r="C29" s="326"/>
      <c r="D29" s="222" t="s">
        <v>173</v>
      </c>
      <c r="E29" s="180"/>
      <c r="F29" s="174"/>
      <c r="H29" s="174"/>
      <c r="I29" s="326"/>
      <c r="J29" s="222" t="s">
        <v>173</v>
      </c>
      <c r="K29" s="180"/>
      <c r="L29" s="174"/>
      <c r="N29" s="174"/>
      <c r="O29" s="326"/>
      <c r="P29" s="222" t="s">
        <v>173</v>
      </c>
      <c r="Q29" s="180"/>
      <c r="R29" s="174"/>
    </row>
    <row r="30" spans="2:18">
      <c r="B30" s="174"/>
      <c r="C30" s="327" t="s">
        <v>17</v>
      </c>
      <c r="D30" s="177" t="s">
        <v>49</v>
      </c>
      <c r="E30" s="181">
        <f>Lookup!G76</f>
        <v>1</v>
      </c>
      <c r="F30" s="174"/>
      <c r="H30" s="174"/>
      <c r="I30" s="327" t="s">
        <v>17</v>
      </c>
      <c r="J30" s="177" t="s">
        <v>49</v>
      </c>
      <c r="K30" s="181">
        <f>Lookup!G97</f>
        <v>1</v>
      </c>
      <c r="L30" s="174"/>
      <c r="N30" s="174"/>
      <c r="O30" s="327" t="s">
        <v>17</v>
      </c>
      <c r="P30" s="177" t="s">
        <v>49</v>
      </c>
      <c r="Q30" s="181">
        <f>Lookup!G118</f>
        <v>1</v>
      </c>
      <c r="R30" s="174"/>
    </row>
    <row r="31" spans="2:18">
      <c r="B31" s="174"/>
      <c r="C31" s="328"/>
      <c r="D31" s="204" t="s">
        <v>18</v>
      </c>
      <c r="E31" s="184">
        <f>(8.34 * Lookup!G8 *(Lookup!G9 - Lookup!G10)) / Lookup!G12</f>
        <v>10550.1</v>
      </c>
      <c r="F31" s="174"/>
      <c r="H31" s="174"/>
      <c r="I31" s="328"/>
      <c r="J31" s="204" t="s">
        <v>18</v>
      </c>
      <c r="K31" s="184">
        <f>(8.34 * Lookup!G8 *(Lookup!G9 - Lookup!G10)) / Lookup!G12</f>
        <v>10550.1</v>
      </c>
      <c r="L31" s="174"/>
      <c r="N31" s="174"/>
      <c r="O31" s="328"/>
      <c r="P31" s="204" t="s">
        <v>18</v>
      </c>
      <c r="Q31" s="184">
        <f>(8.34 * Lookup!G8 *(Lookup!G9 - Lookup!G10)) / Lookup!G12</f>
        <v>10550.1</v>
      </c>
      <c r="R31" s="174"/>
    </row>
    <row r="32" spans="2:18" ht="15.75" thickBot="1">
      <c r="B32" s="174"/>
      <c r="C32" s="326"/>
      <c r="D32" s="185" t="s">
        <v>50</v>
      </c>
      <c r="E32" s="180"/>
      <c r="F32" s="174"/>
      <c r="H32" s="174"/>
      <c r="I32" s="326"/>
      <c r="J32" s="185" t="s">
        <v>50</v>
      </c>
      <c r="K32" s="180"/>
      <c r="L32" s="174"/>
      <c r="N32" s="174"/>
      <c r="O32" s="326"/>
      <c r="P32" s="185" t="s">
        <v>50</v>
      </c>
      <c r="Q32" s="188"/>
      <c r="R32" s="174"/>
    </row>
    <row r="33" spans="2:18">
      <c r="B33" s="174"/>
      <c r="C33" s="330" t="s">
        <v>10</v>
      </c>
      <c r="D33" s="189" t="s">
        <v>11</v>
      </c>
      <c r="E33" s="178" t="str">
        <f>Lookup!G78</f>
        <v>Yes</v>
      </c>
      <c r="F33" s="174"/>
      <c r="H33" s="174"/>
      <c r="I33" s="330" t="s">
        <v>10</v>
      </c>
      <c r="J33" s="189" t="s">
        <v>11</v>
      </c>
      <c r="K33" s="178" t="str">
        <f>Lookup!G99</f>
        <v>Yes</v>
      </c>
      <c r="L33" s="174"/>
      <c r="N33" s="174"/>
      <c r="O33" s="330" t="s">
        <v>10</v>
      </c>
      <c r="P33" s="196" t="s">
        <v>11</v>
      </c>
      <c r="Q33" s="200" t="str">
        <f>Lookup!G120</f>
        <v>Yes</v>
      </c>
      <c r="R33" s="174"/>
    </row>
    <row r="34" spans="2:18">
      <c r="B34" s="174"/>
      <c r="C34" s="328"/>
      <c r="D34" s="190" t="s">
        <v>13</v>
      </c>
      <c r="E34" s="179" t="str">
        <f>Lookup!G79</f>
        <v>Yes</v>
      </c>
      <c r="F34" s="174"/>
      <c r="H34" s="174"/>
      <c r="I34" s="328"/>
      <c r="J34" s="190" t="s">
        <v>13</v>
      </c>
      <c r="K34" s="179" t="str">
        <f>Lookup!G100</f>
        <v>Yes</v>
      </c>
      <c r="L34" s="174"/>
      <c r="N34" s="174"/>
      <c r="O34" s="328"/>
      <c r="P34" s="197" t="s">
        <v>13</v>
      </c>
      <c r="Q34" s="201" t="str">
        <f>Lookup!G121</f>
        <v>Yes</v>
      </c>
      <c r="R34" s="174"/>
    </row>
    <row r="35" spans="2:18">
      <c r="B35" s="174"/>
      <c r="C35" s="328"/>
      <c r="D35" s="190" t="s">
        <v>14</v>
      </c>
      <c r="E35" s="179" t="str">
        <f>Lookup!G80</f>
        <v>Yes</v>
      </c>
      <c r="F35" s="174"/>
      <c r="H35" s="174"/>
      <c r="I35" s="328"/>
      <c r="J35" s="190" t="s">
        <v>14</v>
      </c>
      <c r="K35" s="179" t="str">
        <f>Lookup!G101</f>
        <v>Yes</v>
      </c>
      <c r="L35" s="174"/>
      <c r="N35" s="174"/>
      <c r="O35" s="328"/>
      <c r="P35" s="197" t="s">
        <v>14</v>
      </c>
      <c r="Q35" s="201" t="str">
        <f>Lookup!G122</f>
        <v>Yes</v>
      </c>
      <c r="R35" s="174"/>
    </row>
    <row r="36" spans="2:18" ht="15.75" thickBot="1">
      <c r="B36" s="174"/>
      <c r="C36" s="331"/>
      <c r="D36" s="191" t="s">
        <v>15</v>
      </c>
      <c r="E36" s="180" t="str">
        <f>Lookup!G81</f>
        <v>Yes</v>
      </c>
      <c r="F36" s="174"/>
      <c r="H36" s="174"/>
      <c r="I36" s="331"/>
      <c r="J36" s="191" t="s">
        <v>15</v>
      </c>
      <c r="K36" s="180" t="str">
        <f>Lookup!G102</f>
        <v>Yes</v>
      </c>
      <c r="L36" s="174"/>
      <c r="N36" s="174"/>
      <c r="O36" s="331"/>
      <c r="P36" s="198" t="s">
        <v>15</v>
      </c>
      <c r="Q36" s="202" t="str">
        <f>Lookup!G123</f>
        <v>Yes</v>
      </c>
      <c r="R36" s="174"/>
    </row>
    <row r="37" spans="2:18">
      <c r="B37" s="174"/>
      <c r="C37" s="330" t="s">
        <v>5</v>
      </c>
      <c r="D37" s="192" t="s">
        <v>12</v>
      </c>
      <c r="E37" s="178" t="str">
        <f>Lookup!G82</f>
        <v>Yes</v>
      </c>
      <c r="F37" s="174"/>
      <c r="H37" s="174"/>
      <c r="I37" s="330" t="s">
        <v>5</v>
      </c>
      <c r="J37" s="192" t="s">
        <v>12</v>
      </c>
      <c r="K37" s="178" t="str">
        <f>Lookup!G103</f>
        <v>Yes</v>
      </c>
      <c r="L37" s="174"/>
      <c r="N37" s="174"/>
      <c r="O37" s="330" t="s">
        <v>5</v>
      </c>
      <c r="P37" s="199" t="s">
        <v>12</v>
      </c>
      <c r="Q37" s="203" t="str">
        <f>Lookup!G124</f>
        <v>Yes</v>
      </c>
      <c r="R37" s="174"/>
    </row>
    <row r="38" spans="2:18">
      <c r="B38" s="174"/>
      <c r="C38" s="328"/>
      <c r="D38" s="190" t="s">
        <v>6</v>
      </c>
      <c r="E38" s="179" t="str">
        <f>Lookup!G83</f>
        <v>Yes</v>
      </c>
      <c r="F38" s="174"/>
      <c r="H38" s="174"/>
      <c r="I38" s="328"/>
      <c r="J38" s="190" t="s">
        <v>6</v>
      </c>
      <c r="K38" s="179" t="str">
        <f>Lookup!G104</f>
        <v>Yes</v>
      </c>
      <c r="L38" s="174"/>
      <c r="N38" s="174"/>
      <c r="O38" s="328"/>
      <c r="P38" s="197" t="s">
        <v>6</v>
      </c>
      <c r="Q38" s="201" t="str">
        <f>Lookup!G125</f>
        <v>Yes</v>
      </c>
      <c r="R38" s="174"/>
    </row>
    <row r="39" spans="2:18">
      <c r="B39" s="174"/>
      <c r="C39" s="328"/>
      <c r="D39" s="190" t="s">
        <v>7</v>
      </c>
      <c r="E39" s="179" t="str">
        <f>Lookup!G84</f>
        <v>Yes</v>
      </c>
      <c r="F39" s="174"/>
      <c r="H39" s="174"/>
      <c r="I39" s="328"/>
      <c r="J39" s="190" t="s">
        <v>7</v>
      </c>
      <c r="K39" s="179" t="str">
        <f>Lookup!G105</f>
        <v>Yes</v>
      </c>
      <c r="L39" s="174"/>
      <c r="N39" s="174"/>
      <c r="O39" s="328"/>
      <c r="P39" s="197" t="s">
        <v>7</v>
      </c>
      <c r="Q39" s="201" t="str">
        <f>Lookup!G126</f>
        <v>Yes</v>
      </c>
      <c r="R39" s="174"/>
    </row>
    <row r="40" spans="2:18">
      <c r="B40" s="174"/>
      <c r="C40" s="328"/>
      <c r="D40" s="190" t="s">
        <v>8</v>
      </c>
      <c r="E40" s="179" t="str">
        <f>Lookup!G85</f>
        <v>Yes</v>
      </c>
      <c r="F40" s="174"/>
      <c r="H40" s="174"/>
      <c r="I40" s="328"/>
      <c r="J40" s="190" t="s">
        <v>8</v>
      </c>
      <c r="K40" s="179" t="str">
        <f>Lookup!G106</f>
        <v>Yes</v>
      </c>
      <c r="L40" s="174"/>
      <c r="N40" s="174"/>
      <c r="O40" s="328"/>
      <c r="P40" s="197" t="s">
        <v>8</v>
      </c>
      <c r="Q40" s="201" t="str">
        <f>Lookup!G127</f>
        <v>Yes</v>
      </c>
      <c r="R40" s="174"/>
    </row>
    <row r="41" spans="2:18" ht="15.75" thickBot="1">
      <c r="B41" s="174"/>
      <c r="C41" s="331"/>
      <c r="D41" s="191" t="s">
        <v>9</v>
      </c>
      <c r="E41" s="180" t="str">
        <f>Lookup!G86</f>
        <v>Yes</v>
      </c>
      <c r="F41" s="174"/>
      <c r="H41" s="174"/>
      <c r="I41" s="331"/>
      <c r="J41" s="191" t="s">
        <v>9</v>
      </c>
      <c r="K41" s="180" t="str">
        <f>Lookup!G107</f>
        <v>Yes</v>
      </c>
      <c r="L41" s="174"/>
      <c r="N41" s="174"/>
      <c r="O41" s="331"/>
      <c r="P41" s="198" t="s">
        <v>9</v>
      </c>
      <c r="Q41" s="202" t="str">
        <f>Lookup!G128</f>
        <v>Yes</v>
      </c>
      <c r="R41" s="174"/>
    </row>
    <row r="42" spans="2:18">
      <c r="B42" s="174"/>
      <c r="C42" s="186"/>
      <c r="D42" s="186"/>
      <c r="E42" s="186"/>
      <c r="F42" s="174"/>
      <c r="H42" s="174"/>
      <c r="I42" s="186"/>
      <c r="J42" s="186"/>
      <c r="K42" s="186"/>
      <c r="L42" s="174"/>
      <c r="N42" s="174"/>
      <c r="O42" s="186"/>
      <c r="P42" s="186"/>
      <c r="Q42" s="174"/>
      <c r="R42" s="174"/>
    </row>
    <row r="44" spans="2:18" ht="15.75" thickBot="1">
      <c r="B44" s="174"/>
      <c r="C44" s="175"/>
      <c r="D44" s="175"/>
      <c r="E44" s="175"/>
      <c r="F44" s="174"/>
    </row>
    <row r="45" spans="2:18" ht="15.75" thickBot="1">
      <c r="B45" s="174"/>
      <c r="C45" s="318" t="s">
        <v>71</v>
      </c>
      <c r="D45" s="319"/>
      <c r="E45" s="320"/>
      <c r="F45" s="174"/>
    </row>
    <row r="46" spans="2:18" ht="15.75" thickBot="1">
      <c r="B46" s="174"/>
      <c r="C46" s="318" t="s">
        <v>131</v>
      </c>
      <c r="D46" s="319"/>
      <c r="E46" s="320"/>
      <c r="F46" s="174"/>
    </row>
    <row r="47" spans="2:18" ht="15.75" thickBot="1">
      <c r="B47" s="174"/>
      <c r="C47" s="321" t="s">
        <v>72</v>
      </c>
      <c r="D47" s="322"/>
      <c r="E47" s="323"/>
      <c r="F47" s="174"/>
    </row>
    <row r="48" spans="2:18">
      <c r="B48" s="174"/>
      <c r="C48" s="324" t="s">
        <v>16</v>
      </c>
      <c r="D48" s="177" t="s">
        <v>4</v>
      </c>
      <c r="E48" s="178" t="str">
        <f>Lookup!G141</f>
        <v>Yes</v>
      </c>
      <c r="F48" s="174"/>
    </row>
    <row r="49" spans="2:6">
      <c r="B49" s="174"/>
      <c r="C49" s="325"/>
      <c r="D49" s="221" t="s">
        <v>172</v>
      </c>
      <c r="E49" s="179"/>
      <c r="F49" s="174"/>
    </row>
    <row r="50" spans="2:6" ht="15.75" thickBot="1">
      <c r="B50" s="174"/>
      <c r="C50" s="326"/>
      <c r="D50" s="222" t="s">
        <v>173</v>
      </c>
      <c r="E50" s="180"/>
      <c r="F50" s="174"/>
    </row>
    <row r="51" spans="2:6">
      <c r="B51" s="174"/>
      <c r="C51" s="327" t="s">
        <v>17</v>
      </c>
      <c r="D51" s="177" t="s">
        <v>49</v>
      </c>
      <c r="E51" s="181" t="str">
        <f>Lookup!G148</f>
        <v>Yes</v>
      </c>
      <c r="F51" s="174"/>
    </row>
    <row r="52" spans="2:6">
      <c r="B52" s="174"/>
      <c r="C52" s="328"/>
      <c r="D52" s="204" t="s">
        <v>18</v>
      </c>
      <c r="E52" s="184">
        <f>(8.34 * Lookup!G8 *(Lookup!G9 - Lookup!G10)) / Lookup!G12</f>
        <v>10550.1</v>
      </c>
      <c r="F52" s="174"/>
    </row>
    <row r="53" spans="2:6" ht="15.75" thickBot="1">
      <c r="B53" s="174"/>
      <c r="C53" s="326"/>
      <c r="D53" s="185" t="s">
        <v>50</v>
      </c>
      <c r="E53" s="180"/>
      <c r="F53" s="174"/>
    </row>
    <row r="54" spans="2:6">
      <c r="B54" s="174"/>
      <c r="C54" s="330" t="s">
        <v>10</v>
      </c>
      <c r="D54" s="189" t="s">
        <v>11</v>
      </c>
      <c r="E54" s="193" t="str">
        <f>Lookup!G141</f>
        <v>Yes</v>
      </c>
      <c r="F54" s="174"/>
    </row>
    <row r="55" spans="2:6">
      <c r="B55" s="174"/>
      <c r="C55" s="328"/>
      <c r="D55" s="190" t="s">
        <v>13</v>
      </c>
      <c r="E55" s="194" t="str">
        <f>Lookup!G142</f>
        <v>Yes</v>
      </c>
      <c r="F55" s="174"/>
    </row>
    <row r="56" spans="2:6">
      <c r="B56" s="174"/>
      <c r="C56" s="328"/>
      <c r="D56" s="190" t="s">
        <v>14</v>
      </c>
      <c r="E56" s="194" t="str">
        <f>Lookup!G143</f>
        <v>Yes</v>
      </c>
      <c r="F56" s="174"/>
    </row>
    <row r="57" spans="2:6" ht="15.75" thickBot="1">
      <c r="B57" s="174"/>
      <c r="C57" s="331"/>
      <c r="D57" s="191" t="s">
        <v>15</v>
      </c>
      <c r="E57" s="195" t="str">
        <f>Lookup!G144</f>
        <v>Yes</v>
      </c>
      <c r="F57" s="174"/>
    </row>
    <row r="58" spans="2:6">
      <c r="B58" s="174"/>
      <c r="C58" s="330" t="s">
        <v>5</v>
      </c>
      <c r="D58" s="192" t="s">
        <v>12</v>
      </c>
      <c r="E58" s="193" t="str">
        <f>Lookup!G145</f>
        <v>Yes</v>
      </c>
      <c r="F58" s="174"/>
    </row>
    <row r="59" spans="2:6">
      <c r="B59" s="174"/>
      <c r="C59" s="328"/>
      <c r="D59" s="190" t="s">
        <v>6</v>
      </c>
      <c r="E59" s="194" t="str">
        <f>Lookup!G146</f>
        <v>Yes</v>
      </c>
      <c r="F59" s="174"/>
    </row>
    <row r="60" spans="2:6">
      <c r="B60" s="174"/>
      <c r="C60" s="328"/>
      <c r="D60" s="190" t="s">
        <v>7</v>
      </c>
      <c r="E60" s="194" t="str">
        <f>Lookup!G147</f>
        <v>Yes</v>
      </c>
      <c r="F60" s="174"/>
    </row>
    <row r="61" spans="2:6">
      <c r="B61" s="174"/>
      <c r="C61" s="328"/>
      <c r="D61" s="190" t="s">
        <v>8</v>
      </c>
      <c r="E61" s="194" t="str">
        <f>Lookup!G148</f>
        <v>Yes</v>
      </c>
      <c r="F61" s="174"/>
    </row>
    <row r="62" spans="2:6" ht="15.75" thickBot="1">
      <c r="B62" s="174"/>
      <c r="C62" s="331"/>
      <c r="D62" s="191" t="s">
        <v>9</v>
      </c>
      <c r="E62" s="195" t="str">
        <f>Lookup!G149</f>
        <v>Yes</v>
      </c>
      <c r="F62" s="174"/>
    </row>
    <row r="63" spans="2:6">
      <c r="B63" s="174"/>
      <c r="C63" s="186"/>
      <c r="D63" s="186"/>
      <c r="E63" s="186"/>
      <c r="F63" s="174"/>
    </row>
  </sheetData>
  <mergeCells count="49">
    <mergeCell ref="C54:C57"/>
    <mergeCell ref="C58:C62"/>
    <mergeCell ref="C51:C53"/>
    <mergeCell ref="C12:C15"/>
    <mergeCell ref="C16:C20"/>
    <mergeCell ref="C45:E45"/>
    <mergeCell ref="C46:E46"/>
    <mergeCell ref="C47:E47"/>
    <mergeCell ref="C48:C50"/>
    <mergeCell ref="C37:C41"/>
    <mergeCell ref="O12:O15"/>
    <mergeCell ref="O16:O20"/>
    <mergeCell ref="C33:C36"/>
    <mergeCell ref="I33:I36"/>
    <mergeCell ref="O33:O36"/>
    <mergeCell ref="O27:O29"/>
    <mergeCell ref="O30:O32"/>
    <mergeCell ref="C27:C29"/>
    <mergeCell ref="C30:C32"/>
    <mergeCell ref="I37:I41"/>
    <mergeCell ref="O37:O41"/>
    <mergeCell ref="I27:I29"/>
    <mergeCell ref="I30:I32"/>
    <mergeCell ref="O3:Q3"/>
    <mergeCell ref="O4:Q4"/>
    <mergeCell ref="O5:Q5"/>
    <mergeCell ref="O6:O8"/>
    <mergeCell ref="O9:O11"/>
    <mergeCell ref="O24:Q24"/>
    <mergeCell ref="O25:Q25"/>
    <mergeCell ref="O26:Q26"/>
    <mergeCell ref="I3:K3"/>
    <mergeCell ref="I4:K4"/>
    <mergeCell ref="I5:K5"/>
    <mergeCell ref="I6:I8"/>
    <mergeCell ref="I9:I11"/>
    <mergeCell ref="I24:K24"/>
    <mergeCell ref="I25:K25"/>
    <mergeCell ref="I26:K26"/>
    <mergeCell ref="C24:E24"/>
    <mergeCell ref="C25:E25"/>
    <mergeCell ref="C26:E26"/>
    <mergeCell ref="I12:I15"/>
    <mergeCell ref="I16:I20"/>
    <mergeCell ref="C3:E3"/>
    <mergeCell ref="C4:E4"/>
    <mergeCell ref="C5:E5"/>
    <mergeCell ref="C6:C8"/>
    <mergeCell ref="C9:C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82581-C0CD-4918-A2CD-2559FA0EB65E}">
  <sheetPr codeName="Sheet9"/>
  <dimension ref="A1:Z33"/>
  <sheetViews>
    <sheetView workbookViewId="0">
      <selection activeCell="A8" sqref="A8"/>
    </sheetView>
  </sheetViews>
  <sheetFormatPr defaultColWidth="12.5703125" defaultRowHeight="15"/>
  <cols>
    <col min="1" max="1" width="14.85546875" customWidth="1"/>
    <col min="2" max="2" width="13.42578125" customWidth="1"/>
    <col min="3" max="3" width="16.5703125" customWidth="1"/>
    <col min="4" max="4" width="16.42578125" customWidth="1"/>
    <col min="7" max="7" width="5.5703125" customWidth="1"/>
  </cols>
  <sheetData>
    <row r="1" spans="1:26">
      <c r="A1" s="332" t="s">
        <v>97</v>
      </c>
      <c r="B1" s="302"/>
      <c r="C1" s="332"/>
      <c r="D1" s="302"/>
    </row>
    <row r="2" spans="1:26">
      <c r="A2" s="333" t="s">
        <v>98</v>
      </c>
      <c r="B2" s="302"/>
      <c r="C2" s="60"/>
      <c r="D2" s="61"/>
    </row>
    <row r="3" spans="1:26">
      <c r="B3" s="60"/>
      <c r="C3" s="60"/>
      <c r="D3" s="61"/>
    </row>
    <row r="4" spans="1:26" ht="45">
      <c r="A4" s="62" t="s">
        <v>99</v>
      </c>
      <c r="B4" s="62" t="s">
        <v>100</v>
      </c>
      <c r="C4" s="62" t="s">
        <v>101</v>
      </c>
      <c r="D4" s="63" t="s">
        <v>102</v>
      </c>
      <c r="E4" s="63" t="s">
        <v>103</v>
      </c>
      <c r="F4" s="63" t="s">
        <v>104</v>
      </c>
      <c r="H4" s="64"/>
    </row>
    <row r="5" spans="1:26">
      <c r="A5" s="65" t="s">
        <v>76</v>
      </c>
      <c r="B5" s="66">
        <f>$B$13</f>
        <v>815920</v>
      </c>
      <c r="C5" s="67">
        <v>0.503</v>
      </c>
      <c r="D5" s="68">
        <f t="shared" ref="D5:D11" si="0">B5*C5</f>
        <v>410407.76</v>
      </c>
      <c r="E5" s="69">
        <v>0.14000000000000001</v>
      </c>
      <c r="F5" s="70">
        <f t="shared" ref="F5:F11" si="1">C5*E5</f>
        <v>7.042000000000001E-2</v>
      </c>
      <c r="H5" s="298" t="s">
        <v>105</v>
      </c>
      <c r="I5" s="299"/>
      <c r="J5" s="300"/>
    </row>
    <row r="6" spans="1:26">
      <c r="A6" s="65" t="s">
        <v>82</v>
      </c>
      <c r="B6" s="66">
        <f>$B$13</f>
        <v>815920</v>
      </c>
      <c r="C6" s="67">
        <v>0.503</v>
      </c>
      <c r="D6" s="68">
        <f t="shared" si="0"/>
        <v>410407.76</v>
      </c>
      <c r="E6" s="69">
        <v>0.08</v>
      </c>
      <c r="F6" s="70">
        <f t="shared" si="1"/>
        <v>4.0239999999999998E-2</v>
      </c>
      <c r="H6" s="301"/>
      <c r="I6" s="302"/>
      <c r="J6" s="303"/>
    </row>
    <row r="7" spans="1:26">
      <c r="A7" s="98" t="s">
        <v>127</v>
      </c>
      <c r="B7" s="66"/>
      <c r="C7" s="67"/>
      <c r="D7" s="68"/>
      <c r="E7" s="69"/>
      <c r="F7" s="70"/>
      <c r="H7" s="301"/>
      <c r="I7" s="302"/>
      <c r="J7" s="303"/>
    </row>
    <row r="8" spans="1:26">
      <c r="A8" s="65" t="s">
        <v>106</v>
      </c>
      <c r="B8" s="66">
        <f>$B$13</f>
        <v>815920</v>
      </c>
      <c r="C8" s="67">
        <v>0.90300000000000002</v>
      </c>
      <c r="D8" s="68">
        <f t="shared" si="0"/>
        <v>736775.76</v>
      </c>
      <c r="E8" s="69">
        <v>0.06</v>
      </c>
      <c r="F8" s="70">
        <f t="shared" si="1"/>
        <v>5.4179999999999999E-2</v>
      </c>
      <c r="H8" s="301"/>
      <c r="I8" s="302"/>
      <c r="J8" s="303"/>
    </row>
    <row r="9" spans="1:26">
      <c r="A9" s="65" t="s">
        <v>81</v>
      </c>
      <c r="B9" s="71">
        <f>$B$13</f>
        <v>815920</v>
      </c>
      <c r="C9" s="72">
        <v>0.753</v>
      </c>
      <c r="D9" s="73">
        <f t="shared" si="0"/>
        <v>614387.76</v>
      </c>
      <c r="E9" s="74">
        <v>0.03</v>
      </c>
      <c r="F9" s="70">
        <f t="shared" si="1"/>
        <v>2.2589999999999999E-2</v>
      </c>
      <c r="G9" s="29"/>
      <c r="H9" s="301"/>
      <c r="I9" s="302"/>
      <c r="J9" s="303"/>
      <c r="K9" s="29"/>
      <c r="L9" s="29"/>
      <c r="M9" s="29"/>
      <c r="N9" s="29"/>
      <c r="O9" s="29"/>
      <c r="P9" s="29"/>
      <c r="Q9" s="29"/>
      <c r="R9" s="29"/>
      <c r="S9" s="29"/>
      <c r="T9" s="29"/>
      <c r="U9" s="29"/>
      <c r="V9" s="29"/>
      <c r="W9" s="29"/>
      <c r="X9" s="29"/>
      <c r="Y9" s="29"/>
      <c r="Z9" s="29"/>
    </row>
    <row r="10" spans="1:26">
      <c r="A10" s="65" t="s">
        <v>107</v>
      </c>
      <c r="B10" s="71">
        <f>$B$13</f>
        <v>815920</v>
      </c>
      <c r="C10" s="72">
        <v>0.14699999999999999</v>
      </c>
      <c r="D10" s="73">
        <f t="shared" si="0"/>
        <v>119940.23999999999</v>
      </c>
      <c r="E10" s="74">
        <v>0.51</v>
      </c>
      <c r="F10" s="70">
        <f t="shared" si="1"/>
        <v>7.4969999999999995E-2</v>
      </c>
      <c r="G10" s="29"/>
      <c r="H10" s="301"/>
      <c r="I10" s="302"/>
      <c r="J10" s="303"/>
      <c r="K10" s="29"/>
      <c r="L10" s="29"/>
      <c r="M10" s="29"/>
      <c r="N10" s="29"/>
      <c r="O10" s="29"/>
      <c r="P10" s="29"/>
      <c r="Q10" s="29"/>
      <c r="R10" s="29"/>
      <c r="S10" s="29"/>
      <c r="T10" s="29"/>
      <c r="U10" s="29"/>
      <c r="V10" s="29"/>
      <c r="W10" s="29"/>
      <c r="X10" s="29"/>
      <c r="Y10" s="29"/>
      <c r="Z10" s="29"/>
    </row>
    <row r="11" spans="1:26">
      <c r="A11" s="65" t="s">
        <v>108</v>
      </c>
      <c r="B11" s="71">
        <f>$B$13</f>
        <v>815920</v>
      </c>
      <c r="C11" s="72">
        <v>0.14699999999999999</v>
      </c>
      <c r="D11" s="73">
        <f t="shared" si="0"/>
        <v>119940.23999999999</v>
      </c>
      <c r="E11" s="74">
        <v>0.14000000000000001</v>
      </c>
      <c r="F11" s="70">
        <f t="shared" si="1"/>
        <v>2.0580000000000001E-2</v>
      </c>
      <c r="G11" s="29"/>
      <c r="H11" s="304"/>
      <c r="I11" s="305"/>
      <c r="J11" s="306"/>
      <c r="K11" s="29"/>
      <c r="L11" s="29"/>
      <c r="M11" s="29"/>
      <c r="N11" s="29"/>
      <c r="O11" s="29"/>
      <c r="P11" s="29"/>
      <c r="Q11" s="29"/>
      <c r="R11" s="29"/>
      <c r="S11" s="29"/>
      <c r="T11" s="29"/>
      <c r="U11" s="29"/>
      <c r="V11" s="29"/>
      <c r="W11" s="29"/>
      <c r="X11" s="29"/>
      <c r="Y11" s="29"/>
      <c r="Z11" s="29"/>
    </row>
    <row r="13" spans="1:26">
      <c r="A13" s="75" t="s">
        <v>109</v>
      </c>
      <c r="B13" s="67">
        <v>815920</v>
      </c>
    </row>
    <row r="16" spans="1:26" ht="30">
      <c r="C16" s="76" t="s">
        <v>101</v>
      </c>
      <c r="D16" s="77" t="s">
        <v>103</v>
      </c>
      <c r="E16" s="77" t="s">
        <v>104</v>
      </c>
      <c r="G16" s="298" t="s">
        <v>110</v>
      </c>
      <c r="H16" s="299"/>
      <c r="I16" s="299"/>
      <c r="J16" s="299"/>
      <c r="K16" s="300"/>
    </row>
    <row r="17" spans="1:11">
      <c r="B17" s="78" t="s">
        <v>76</v>
      </c>
      <c r="C17" s="66">
        <v>0.503</v>
      </c>
      <c r="D17" s="79">
        <v>0.14000000000000001</v>
      </c>
      <c r="E17" s="70">
        <f t="shared" ref="E17:E21" si="2">C17*D17</f>
        <v>7.042000000000001E-2</v>
      </c>
      <c r="G17" s="301"/>
      <c r="H17" s="302"/>
      <c r="I17" s="302"/>
      <c r="J17" s="302"/>
      <c r="K17" s="303"/>
    </row>
    <row r="18" spans="1:11">
      <c r="B18" s="78" t="s">
        <v>82</v>
      </c>
      <c r="C18" s="66">
        <v>0.503</v>
      </c>
      <c r="D18" s="79">
        <v>0.08</v>
      </c>
      <c r="E18" s="70">
        <f t="shared" si="2"/>
        <v>4.0239999999999998E-2</v>
      </c>
      <c r="G18" s="301"/>
      <c r="H18" s="302"/>
      <c r="I18" s="302"/>
      <c r="J18" s="302"/>
      <c r="K18" s="303"/>
    </row>
    <row r="19" spans="1:11">
      <c r="B19" s="80" t="s">
        <v>107</v>
      </c>
      <c r="C19" s="71">
        <v>0.14699999999999999</v>
      </c>
      <c r="D19" s="70">
        <v>0.51</v>
      </c>
      <c r="E19" s="74">
        <f t="shared" si="2"/>
        <v>7.4969999999999995E-2</v>
      </c>
      <c r="G19" s="301"/>
      <c r="H19" s="302"/>
      <c r="I19" s="302"/>
      <c r="J19" s="302"/>
      <c r="K19" s="303"/>
    </row>
    <row r="20" spans="1:11">
      <c r="B20" s="80" t="s">
        <v>108</v>
      </c>
      <c r="C20" s="71">
        <v>0.14699999999999999</v>
      </c>
      <c r="D20" s="70">
        <v>0.14000000000000001</v>
      </c>
      <c r="E20" s="70">
        <f t="shared" si="2"/>
        <v>2.0580000000000001E-2</v>
      </c>
      <c r="G20" s="301"/>
      <c r="H20" s="302"/>
      <c r="I20" s="302"/>
      <c r="J20" s="302"/>
      <c r="K20" s="303"/>
    </row>
    <row r="21" spans="1:11">
      <c r="B21" s="78" t="s">
        <v>106</v>
      </c>
      <c r="C21" s="66">
        <v>0.90300000000000002</v>
      </c>
      <c r="D21" s="79">
        <v>0.06</v>
      </c>
      <c r="E21" s="70">
        <f t="shared" si="2"/>
        <v>5.4179999999999999E-2</v>
      </c>
      <c r="G21" s="301"/>
      <c r="H21" s="302"/>
      <c r="I21" s="302"/>
      <c r="J21" s="302"/>
      <c r="K21" s="303"/>
    </row>
    <row r="22" spans="1:11">
      <c r="G22" s="301"/>
      <c r="H22" s="302"/>
      <c r="I22" s="302"/>
      <c r="J22" s="302"/>
      <c r="K22" s="303"/>
    </row>
    <row r="23" spans="1:11">
      <c r="G23" s="304"/>
      <c r="H23" s="305"/>
      <c r="I23" s="305"/>
      <c r="J23" s="305"/>
      <c r="K23" s="306"/>
    </row>
    <row r="31" spans="1:11">
      <c r="A31" s="81"/>
    </row>
    <row r="32" spans="1:11">
      <c r="A32" s="81"/>
    </row>
    <row r="33" spans="1:1">
      <c r="A33" s="81"/>
    </row>
  </sheetData>
  <mergeCells count="5">
    <mergeCell ref="A1:B1"/>
    <mergeCell ref="C1:D1"/>
    <mergeCell ref="A2:B2"/>
    <mergeCell ref="H5:J11"/>
    <mergeCell ref="G16:K23"/>
  </mergeCells>
  <hyperlinks>
    <hyperlink ref="A1" r:id="rId1" xr:uid="{A4B56653-70F8-49B1-B0A7-8A56F0B21E6E}"/>
    <hyperlink ref="A2" r:id="rId2" xr:uid="{B3AADACE-49D5-4B47-B388-F7B93A2505D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D613-49D5-479D-B324-75E8FE806B4F}">
  <sheetPr codeName="Sheet10"/>
  <dimension ref="A1:BD1004"/>
  <sheetViews>
    <sheetView workbookViewId="0">
      <selection activeCell="O6" sqref="O6:P6"/>
    </sheetView>
  </sheetViews>
  <sheetFormatPr defaultColWidth="12.5703125" defaultRowHeight="15"/>
  <cols>
    <col min="1" max="1" width="4.7109375" customWidth="1"/>
    <col min="2" max="3" width="8.7109375" customWidth="1"/>
    <col min="4" max="4" width="7.42578125" customWidth="1"/>
    <col min="5" max="5" width="2.28515625" customWidth="1"/>
    <col min="6" max="6" width="9.28515625" customWidth="1"/>
    <col min="7" max="7" width="7.5703125" customWidth="1"/>
    <col min="8" max="8" width="9.140625" customWidth="1"/>
    <col min="9" max="9" width="4.5703125" customWidth="1"/>
    <col min="10" max="10" width="9.7109375" customWidth="1"/>
    <col min="11" max="11" width="8.28515625" customWidth="1"/>
    <col min="12" max="12" width="7.140625" customWidth="1"/>
    <col min="13" max="13" width="2.42578125" customWidth="1"/>
    <col min="14" max="14" width="9.140625" customWidth="1"/>
    <col min="15" max="15" width="8" customWidth="1"/>
    <col min="16" max="16" width="7" customWidth="1"/>
    <col min="17" max="17" width="4.140625" customWidth="1"/>
    <col min="18" max="18" width="9.42578125" customWidth="1"/>
    <col min="19" max="20" width="9.140625" customWidth="1"/>
    <col min="21" max="21" width="2.140625" customWidth="1"/>
    <col min="22" max="22" width="8.85546875" customWidth="1"/>
    <col min="23" max="24" width="8.42578125" customWidth="1"/>
    <col min="25" max="25" width="5.42578125" customWidth="1"/>
    <col min="26" max="26" width="9.5703125" customWidth="1"/>
    <col min="27" max="28" width="8.5703125" customWidth="1"/>
    <col min="29" max="29" width="2.28515625" customWidth="1"/>
    <col min="30" max="30" width="9.85546875" customWidth="1"/>
    <col min="31" max="31" width="8.140625" customWidth="1"/>
    <col min="32" max="32" width="10.140625" customWidth="1"/>
    <col min="33" max="33" width="6.28515625" customWidth="1"/>
    <col min="34" max="34" width="10" customWidth="1"/>
    <col min="35" max="35" width="8" customWidth="1"/>
    <col min="36" max="36" width="10" customWidth="1"/>
    <col min="37" max="37" width="1.85546875" customWidth="1"/>
    <col min="38" max="38" width="9.7109375" customWidth="1"/>
    <col min="39" max="39" width="7.85546875" customWidth="1"/>
    <col min="40" max="40" width="10.7109375" customWidth="1"/>
    <col min="41" max="41" width="5.28515625" customWidth="1"/>
    <col min="42" max="42" width="9.28515625" customWidth="1"/>
    <col min="43" max="43" width="10.42578125" customWidth="1"/>
    <col min="44" max="44" width="8.85546875" customWidth="1"/>
    <col min="45" max="45" width="2.28515625" customWidth="1"/>
    <col min="46" max="46" width="9.5703125" customWidth="1"/>
    <col min="47" max="47" width="9.42578125" customWidth="1"/>
    <col min="48" max="48" width="10.140625" customWidth="1"/>
    <col min="49" max="49" width="5.42578125" customWidth="1"/>
    <col min="50" max="50" width="8.5703125" customWidth="1"/>
    <col min="51" max="51" width="8" customWidth="1"/>
    <col min="52" max="52" width="8.28515625" customWidth="1"/>
    <col min="53" max="53" width="2.140625" customWidth="1"/>
    <col min="54" max="54" width="9.140625" customWidth="1"/>
    <col min="55" max="55" width="8.5703125" customWidth="1"/>
    <col min="56" max="56" width="8.85546875" customWidth="1"/>
  </cols>
  <sheetData>
    <row r="1" spans="1:56" ht="26.25" customHeight="1">
      <c r="A1" s="340" t="s">
        <v>73</v>
      </c>
      <c r="B1" s="302"/>
      <c r="C1" s="302"/>
      <c r="D1" s="302"/>
      <c r="E1" s="302"/>
      <c r="F1" s="302"/>
      <c r="G1" s="302"/>
      <c r="H1" s="302"/>
      <c r="J1" s="12"/>
      <c r="K1" s="12"/>
      <c r="L1" s="12"/>
      <c r="N1" s="12"/>
      <c r="O1" s="12"/>
      <c r="P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T1" s="12"/>
      <c r="AU1" s="12"/>
      <c r="AV1" s="12"/>
      <c r="AX1" s="12"/>
      <c r="AY1" s="12"/>
      <c r="AZ1" s="12"/>
      <c r="BB1" s="12"/>
      <c r="BC1" s="12"/>
      <c r="BD1" s="12"/>
    </row>
    <row r="2" spans="1:56" ht="38.25" customHeight="1">
      <c r="B2" s="341" t="s">
        <v>74</v>
      </c>
      <c r="C2" s="312"/>
      <c r="D2" s="313"/>
      <c r="F2" s="341" t="s">
        <v>74</v>
      </c>
      <c r="G2" s="312"/>
      <c r="H2" s="313"/>
      <c r="J2" s="342" t="s">
        <v>74</v>
      </c>
      <c r="K2" s="312"/>
      <c r="L2" s="313"/>
      <c r="N2" s="342" t="s">
        <v>74</v>
      </c>
      <c r="O2" s="312"/>
      <c r="P2" s="313"/>
      <c r="R2" s="339" t="s">
        <v>74</v>
      </c>
      <c r="S2" s="312"/>
      <c r="T2" s="313"/>
      <c r="V2" s="339" t="s">
        <v>74</v>
      </c>
      <c r="W2" s="312"/>
      <c r="X2" s="313"/>
      <c r="Y2" s="12"/>
      <c r="Z2" s="336" t="s">
        <v>74</v>
      </c>
      <c r="AA2" s="312"/>
      <c r="AB2" s="313"/>
      <c r="AD2" s="336" t="s">
        <v>74</v>
      </c>
      <c r="AE2" s="312"/>
      <c r="AF2" s="313"/>
      <c r="AG2" s="12"/>
      <c r="AH2" s="337" t="s">
        <v>74</v>
      </c>
      <c r="AI2" s="312"/>
      <c r="AJ2" s="313"/>
      <c r="AL2" s="337" t="s">
        <v>74</v>
      </c>
      <c r="AM2" s="312"/>
      <c r="AN2" s="313"/>
      <c r="AO2" s="12"/>
      <c r="AP2" s="334" t="s">
        <v>74</v>
      </c>
      <c r="AQ2" s="312"/>
      <c r="AR2" s="313"/>
      <c r="AT2" s="334" t="s">
        <v>74</v>
      </c>
      <c r="AU2" s="312"/>
      <c r="AV2" s="313"/>
      <c r="AX2" s="335" t="s">
        <v>74</v>
      </c>
      <c r="AY2" s="312"/>
      <c r="AZ2" s="313"/>
      <c r="BB2" s="335" t="s">
        <v>74</v>
      </c>
      <c r="BC2" s="312"/>
      <c r="BD2" s="313"/>
    </row>
    <row r="3" spans="1:56" ht="15" customHeight="1">
      <c r="B3" s="13" t="s">
        <v>75</v>
      </c>
      <c r="C3" s="338" t="s">
        <v>76</v>
      </c>
      <c r="D3" s="306"/>
      <c r="F3" s="13" t="s">
        <v>75</v>
      </c>
      <c r="G3" s="338" t="s">
        <v>76</v>
      </c>
      <c r="H3" s="306"/>
      <c r="J3" s="14" t="s">
        <v>75</v>
      </c>
      <c r="K3" s="338" t="s">
        <v>77</v>
      </c>
      <c r="L3" s="306"/>
      <c r="N3" s="14" t="s">
        <v>75</v>
      </c>
      <c r="O3" s="338" t="s">
        <v>77</v>
      </c>
      <c r="P3" s="306"/>
      <c r="R3" s="15" t="s">
        <v>75</v>
      </c>
      <c r="S3" s="317" t="s">
        <v>78</v>
      </c>
      <c r="T3" s="306"/>
      <c r="V3" s="15" t="s">
        <v>75</v>
      </c>
      <c r="W3" s="317" t="s">
        <v>78</v>
      </c>
      <c r="X3" s="306"/>
      <c r="Y3" s="16"/>
      <c r="Z3" s="17" t="s">
        <v>75</v>
      </c>
      <c r="AA3" s="317" t="s">
        <v>79</v>
      </c>
      <c r="AB3" s="306"/>
      <c r="AD3" s="17" t="s">
        <v>75</v>
      </c>
      <c r="AE3" s="317" t="s">
        <v>79</v>
      </c>
      <c r="AF3" s="306"/>
      <c r="AG3" s="16"/>
      <c r="AH3" s="18" t="s">
        <v>75</v>
      </c>
      <c r="AI3" s="317" t="s">
        <v>80</v>
      </c>
      <c r="AJ3" s="306"/>
      <c r="AL3" s="18" t="s">
        <v>75</v>
      </c>
      <c r="AM3" s="317" t="s">
        <v>80</v>
      </c>
      <c r="AN3" s="306"/>
      <c r="AO3" s="16"/>
      <c r="AP3" s="19" t="s">
        <v>75</v>
      </c>
      <c r="AQ3" s="317" t="s">
        <v>81</v>
      </c>
      <c r="AR3" s="306"/>
      <c r="AT3" s="19" t="s">
        <v>75</v>
      </c>
      <c r="AU3" s="317" t="s">
        <v>81</v>
      </c>
      <c r="AV3" s="306"/>
      <c r="AX3" s="20" t="s">
        <v>75</v>
      </c>
      <c r="AY3" s="317" t="s">
        <v>82</v>
      </c>
      <c r="AZ3" s="306"/>
      <c r="BB3" s="20" t="s">
        <v>75</v>
      </c>
      <c r="BC3" s="317" t="s">
        <v>82</v>
      </c>
      <c r="BD3" s="306"/>
    </row>
    <row r="4" spans="1:56" ht="15" customHeight="1">
      <c r="B4" s="21" t="s">
        <v>83</v>
      </c>
      <c r="C4" s="307">
        <f>[1]Calculator!N18</f>
        <v>0.75</v>
      </c>
      <c r="D4" s="306"/>
      <c r="F4" s="21" t="s">
        <v>83</v>
      </c>
      <c r="G4" s="307">
        <f>[1]Calculator!N18</f>
        <v>0.75</v>
      </c>
      <c r="H4" s="306"/>
      <c r="J4" s="22" t="s">
        <v>83</v>
      </c>
      <c r="K4" s="307">
        <f>[1]Calculator!N18</f>
        <v>0.75</v>
      </c>
      <c r="L4" s="306"/>
      <c r="N4" s="22" t="s">
        <v>83</v>
      </c>
      <c r="O4" s="343">
        <f>[1]Calculator!N18</f>
        <v>0.75</v>
      </c>
      <c r="P4" s="313"/>
      <c r="R4" s="23" t="s">
        <v>83</v>
      </c>
      <c r="S4" s="343">
        <f>[1]Calculator!N18</f>
        <v>0.75</v>
      </c>
      <c r="T4" s="313"/>
      <c r="V4" s="23" t="s">
        <v>83</v>
      </c>
      <c r="W4" s="343">
        <f>[1]Calculator!N18</f>
        <v>0.75</v>
      </c>
      <c r="X4" s="313"/>
      <c r="Y4" s="24"/>
      <c r="Z4" s="25" t="s">
        <v>83</v>
      </c>
      <c r="AA4" s="344">
        <f>[1]Calculator!N18</f>
        <v>0.75</v>
      </c>
      <c r="AB4" s="313"/>
      <c r="AD4" s="25" t="s">
        <v>83</v>
      </c>
      <c r="AE4" s="343">
        <f>[1]Calculator!N18</f>
        <v>0.75</v>
      </c>
      <c r="AF4" s="313"/>
      <c r="AG4" s="24"/>
      <c r="AH4" s="26" t="s">
        <v>83</v>
      </c>
      <c r="AI4" s="343">
        <f>[1]Calculator!N18</f>
        <v>0.75</v>
      </c>
      <c r="AJ4" s="313"/>
      <c r="AL4" s="26" t="s">
        <v>83</v>
      </c>
      <c r="AM4" s="343">
        <f>[1]Calculator!N18</f>
        <v>0.75</v>
      </c>
      <c r="AN4" s="313"/>
      <c r="AO4" s="24"/>
      <c r="AP4" s="27" t="s">
        <v>83</v>
      </c>
      <c r="AQ4" s="343">
        <f>[1]Calculator!N18</f>
        <v>0.75</v>
      </c>
      <c r="AR4" s="313"/>
      <c r="AT4" s="27" t="s">
        <v>83</v>
      </c>
      <c r="AU4" s="343">
        <f>[1]Calculator!N18</f>
        <v>0.75</v>
      </c>
      <c r="AV4" s="313"/>
      <c r="AX4" s="28" t="s">
        <v>83</v>
      </c>
      <c r="AY4" s="343">
        <f>[1]Calculator!N18</f>
        <v>0.75</v>
      </c>
      <c r="AZ4" s="313"/>
      <c r="BB4" s="28" t="s">
        <v>83</v>
      </c>
      <c r="BC4" s="343">
        <f>[1]Calculator!N18</f>
        <v>0.75</v>
      </c>
      <c r="BD4" s="313"/>
    </row>
    <row r="5" spans="1:56" ht="15" customHeight="1">
      <c r="B5" s="21" t="s">
        <v>84</v>
      </c>
      <c r="C5" s="307">
        <f>[1]Calculator!N19</f>
        <v>0.875</v>
      </c>
      <c r="D5" s="306"/>
      <c r="F5" s="21" t="s">
        <v>84</v>
      </c>
      <c r="G5" s="307">
        <f>[1]Calculator!N19</f>
        <v>0.875</v>
      </c>
      <c r="H5" s="306"/>
      <c r="J5" s="22" t="s">
        <v>84</v>
      </c>
      <c r="K5" s="307">
        <f>[1]Calculator!N19</f>
        <v>0.875</v>
      </c>
      <c r="L5" s="306"/>
      <c r="N5" s="22" t="s">
        <v>84</v>
      </c>
      <c r="O5" s="343">
        <f>[1]Calculator!N19</f>
        <v>0.875</v>
      </c>
      <c r="P5" s="313"/>
      <c r="R5" s="23" t="s">
        <v>84</v>
      </c>
      <c r="S5" s="343">
        <f>[1]Calculator!N19</f>
        <v>0.875</v>
      </c>
      <c r="T5" s="313"/>
      <c r="V5" s="23" t="s">
        <v>84</v>
      </c>
      <c r="W5" s="343">
        <f>[1]Calculator!N19</f>
        <v>0.875</v>
      </c>
      <c r="X5" s="313"/>
      <c r="Y5" s="24"/>
      <c r="Z5" s="25" t="s">
        <v>84</v>
      </c>
      <c r="AA5" s="343">
        <f>[1]Calculator!N19</f>
        <v>0.875</v>
      </c>
      <c r="AB5" s="313"/>
      <c r="AD5" s="25" t="s">
        <v>84</v>
      </c>
      <c r="AE5" s="343">
        <f>[1]Calculator!N19</f>
        <v>0.875</v>
      </c>
      <c r="AF5" s="313"/>
      <c r="AG5" s="24"/>
      <c r="AH5" s="26" t="s">
        <v>84</v>
      </c>
      <c r="AI5" s="343">
        <f>[1]Calculator!N19</f>
        <v>0.875</v>
      </c>
      <c r="AJ5" s="313"/>
      <c r="AL5" s="26" t="s">
        <v>84</v>
      </c>
      <c r="AM5" s="343">
        <f>[1]Calculator!N19</f>
        <v>0.875</v>
      </c>
      <c r="AN5" s="313"/>
      <c r="AO5" s="24"/>
      <c r="AP5" s="27" t="s">
        <v>84</v>
      </c>
      <c r="AQ5" s="343">
        <f>[1]Calculator!N19</f>
        <v>0.875</v>
      </c>
      <c r="AR5" s="313"/>
      <c r="AT5" s="27" t="s">
        <v>84</v>
      </c>
      <c r="AU5" s="343">
        <f>[1]Calculator!N19</f>
        <v>0.875</v>
      </c>
      <c r="AV5" s="313"/>
      <c r="AX5" s="28" t="s">
        <v>84</v>
      </c>
      <c r="AY5" s="343">
        <f>[1]Calculator!N19</f>
        <v>0.875</v>
      </c>
      <c r="AZ5" s="313"/>
      <c r="BB5" s="28" t="s">
        <v>84</v>
      </c>
      <c r="BC5" s="343">
        <f>[1]Calculator!N19</f>
        <v>0.875</v>
      </c>
      <c r="BD5" s="313"/>
    </row>
    <row r="6" spans="1:56" ht="20.25" customHeight="1">
      <c r="A6" s="29"/>
      <c r="B6" s="30" t="s">
        <v>85</v>
      </c>
      <c r="C6" s="345">
        <f t="array" ref="C6">AVERAGE(INDEX(D13:D108, MATCH(C4, C13:C108, 0)):INDEX(D13:D108, MATCH(C5, C13:C108, 0)))</f>
        <v>9.962226336615386E-2</v>
      </c>
      <c r="D6" s="313"/>
      <c r="E6" s="29"/>
      <c r="F6" s="30" t="s">
        <v>85</v>
      </c>
      <c r="G6" s="345">
        <f t="array" ref="G6">AVERAGE(INDEX(H13:H108, MATCH(G4, G13:G108, 0)):INDEX(H13:H108, MATCH(G5, G13:G108, 0)))</f>
        <v>7.2208377413076924E-2</v>
      </c>
      <c r="H6" s="313"/>
      <c r="I6" s="29"/>
      <c r="J6" s="31" t="s">
        <v>85</v>
      </c>
      <c r="K6" s="345">
        <f t="array" ref="K6">AVERAGE(INDEX(L13:L108, MATCH(K4, K13:K108, 0)):INDEX(L13:L108, MATCH(K5, K13:K108, 0)))</f>
        <v>4.1980958414615389E-2</v>
      </c>
      <c r="L6" s="313"/>
      <c r="M6" s="29"/>
      <c r="N6" s="31" t="s">
        <v>85</v>
      </c>
      <c r="O6" s="345">
        <f t="array" ref="O6">AVERAGE(INDEX(P13:P108, MATCH(O4, O13:O108, 0)):INDEX(P13:P108, MATCH(O5, O13:O108, 0)))</f>
        <v>3.4383318097692309E-2</v>
      </c>
      <c r="P6" s="313"/>
      <c r="Q6" s="29"/>
      <c r="R6" s="32" t="s">
        <v>85</v>
      </c>
      <c r="S6" s="345">
        <f t="array" ref="S6">AVERAGE(INDEX(T13:T108, MATCH(S4, S13:S108, 0)):INDEX(T13:T108, MATCH(S5, S13:S108, 0)))</f>
        <v>6.7804735769230767E-2</v>
      </c>
      <c r="T6" s="313"/>
      <c r="U6" s="29"/>
      <c r="V6" s="33" t="s">
        <v>85</v>
      </c>
      <c r="W6" s="345">
        <f t="array" ref="W6">AVERAGE(INDEX(X13:X108, MATCH(W4, W13:W108, 0)):INDEX(X13:X108, MATCH(W5, W13:W108, 0)))</f>
        <v>3.1979827461538456E-2</v>
      </c>
      <c r="X6" s="313"/>
      <c r="Y6" s="34"/>
      <c r="Z6" s="35" t="s">
        <v>85</v>
      </c>
      <c r="AA6" s="345">
        <f t="array" ref="AA6">AVERAGE(INDEX(AB13:AB108, MATCH(AA4, AA13:AA108, 0)):INDEX(AB13:AB108, MATCH(AA5, AA13:AA108, 0)))</f>
        <v>0.45153846153846161</v>
      </c>
      <c r="AB6" s="313"/>
      <c r="AC6" s="29"/>
      <c r="AD6" s="35" t="s">
        <v>85</v>
      </c>
      <c r="AE6" s="345">
        <f t="array" ref="AE6">AVERAGE(INDEX(AF13:AF108, MATCH(AE4, AE13:AE108, 0)):INDEX(AF13:AF108, MATCH(AE5, AE13:AE108, 0)))</f>
        <v>0.63065689230769217</v>
      </c>
      <c r="AF6" s="313"/>
      <c r="AG6" s="34"/>
      <c r="AH6" s="36" t="s">
        <v>85</v>
      </c>
      <c r="AI6" s="345">
        <f t="array" ref="AI6">AVERAGE(INDEX(AJ13:AJ108, MATCH(AI4, AI13:AI108, 0)):INDEX(AJ13:AJ108, MATCH(AI5, AI13:AI108, 0)))</f>
        <v>0.13076923076923078</v>
      </c>
      <c r="AJ6" s="313"/>
      <c r="AK6" s="29"/>
      <c r="AL6" s="36" t="s">
        <v>85</v>
      </c>
      <c r="AM6" s="345">
        <f t="array" ref="AM6">AVERAGE(INDEX(AN13:AN108, MATCH(AM4, AM13:AM108, 0)):INDEX(AN13:AN108, MATCH(AM5, AM13:AM108, 0)))</f>
        <v>6.1653339307692311E-2</v>
      </c>
      <c r="AN6" s="313"/>
      <c r="AO6" s="34"/>
      <c r="AP6" s="37" t="s">
        <v>85</v>
      </c>
      <c r="AQ6" s="345">
        <f t="array" ref="AQ6">AVERAGE(INDEX(AR13:AR108, MATCH(AQ4, AQ13:AQ108, 0)):INDEX(AR13:AR108, MATCH(AQ5, AQ13:AQ108, 0)))</f>
        <v>1.5656532692307691E-2</v>
      </c>
      <c r="AR6" s="313"/>
      <c r="AS6" s="29"/>
      <c r="AT6" s="37" t="s">
        <v>85</v>
      </c>
      <c r="AU6" s="345">
        <f t="array" ref="AU6">AVERAGE(INDEX(AV13:AV108, MATCH(AU4, AU13:AU108, 0)):INDEX(AV13:AV108, MATCH(AU5, AU13:AU108, 0)))</f>
        <v>1.2279359384615385E-2</v>
      </c>
      <c r="AV6" s="313"/>
      <c r="AW6" s="29"/>
      <c r="AX6" s="38" t="s">
        <v>85</v>
      </c>
      <c r="AY6" s="345">
        <f t="array" ref="AY6">AVERAGE(INDEX(AZ13:AZ108, MATCH(AY4, AY13:AY108, 0)):INDEX(AZ13:AZ108, MATCH(AY5, AY13:AY108, 0)))</f>
        <v>0.15609283784615388</v>
      </c>
      <c r="AZ6" s="313"/>
      <c r="BA6" s="29"/>
      <c r="BB6" s="38" t="s">
        <v>85</v>
      </c>
      <c r="BC6" s="345">
        <f t="array" ref="BC6">AVERAGE(INDEX(BD13:BD108, MATCH(BC4, BC13:BC108, 0)):INDEX(BD13:BD108, MATCH(BC5, BC13:BC108, 0)))</f>
        <v>0.13740088284615384</v>
      </c>
      <c r="BD6" s="313"/>
    </row>
    <row r="7" spans="1:56" ht="18.75">
      <c r="B7" s="39" t="s">
        <v>86</v>
      </c>
      <c r="C7" s="346">
        <f>ROUND((C5 - C4)*24, 2)</f>
        <v>3</v>
      </c>
      <c r="D7" s="313"/>
      <c r="E7" s="40"/>
      <c r="F7" s="39" t="s">
        <v>86</v>
      </c>
      <c r="G7" s="346">
        <f>ROUND((G5 - G4)*24, 2)</f>
        <v>3</v>
      </c>
      <c r="H7" s="313"/>
      <c r="J7" s="41" t="s">
        <v>86</v>
      </c>
      <c r="K7" s="346">
        <f>ROUND((K5 - K4)*24, 2)</f>
        <v>3</v>
      </c>
      <c r="L7" s="313"/>
      <c r="N7" s="41" t="s">
        <v>86</v>
      </c>
      <c r="O7" s="346">
        <f>ROUND((O5 - O4)*24, 2)</f>
        <v>3</v>
      </c>
      <c r="P7" s="313"/>
      <c r="R7" s="42" t="s">
        <v>86</v>
      </c>
      <c r="S7" s="346">
        <f>ROUND((S5 - S4)*24, 2)</f>
        <v>3</v>
      </c>
      <c r="T7" s="313"/>
      <c r="V7" s="42" t="s">
        <v>86</v>
      </c>
      <c r="W7" s="346">
        <f>ROUND((W5 - W4)*24, 2)</f>
        <v>3</v>
      </c>
      <c r="X7" s="313"/>
      <c r="Y7" s="43"/>
      <c r="Z7" s="44" t="s">
        <v>86</v>
      </c>
      <c r="AA7" s="346">
        <f>ROUND((AA5 - AA4)*24, 2)</f>
        <v>3</v>
      </c>
      <c r="AB7" s="313"/>
      <c r="AD7" s="44" t="s">
        <v>86</v>
      </c>
      <c r="AE7" s="346">
        <f>ROUND((AE5 - AE4)*24, 2)</f>
        <v>3</v>
      </c>
      <c r="AF7" s="313"/>
      <c r="AG7" s="43"/>
      <c r="AH7" s="45" t="s">
        <v>86</v>
      </c>
      <c r="AI7" s="346">
        <f>ROUND((AI5 - AI4)*24, 2)</f>
        <v>3</v>
      </c>
      <c r="AJ7" s="313"/>
      <c r="AL7" s="45" t="s">
        <v>86</v>
      </c>
      <c r="AM7" s="346">
        <f>ROUND((AM5 - AM4)*24, 2)</f>
        <v>3</v>
      </c>
      <c r="AN7" s="313"/>
      <c r="AO7" s="43"/>
      <c r="AP7" s="46" t="s">
        <v>86</v>
      </c>
      <c r="AQ7" s="346">
        <f>ROUND((AQ5 - AQ4)*24, 2)</f>
        <v>3</v>
      </c>
      <c r="AR7" s="313"/>
      <c r="AT7" s="46" t="s">
        <v>86</v>
      </c>
      <c r="AU7" s="346">
        <f>ROUND((AU5 - AU4)*24, 2)</f>
        <v>3</v>
      </c>
      <c r="AV7" s="313"/>
      <c r="AX7" s="47" t="s">
        <v>86</v>
      </c>
      <c r="AY7" s="346">
        <f>ROUND((AY5 - AY4)*24, 2)</f>
        <v>3</v>
      </c>
      <c r="AZ7" s="313"/>
      <c r="BB7" s="47" t="s">
        <v>86</v>
      </c>
      <c r="BC7" s="346">
        <f>ROUND((BC5 - BC4)*24, 2)</f>
        <v>3</v>
      </c>
      <c r="BD7" s="313"/>
    </row>
    <row r="8" spans="1:56" ht="18.75">
      <c r="B8" s="39" t="s">
        <v>87</v>
      </c>
      <c r="C8" s="347">
        <f>MAX(D13:D108)</f>
        <v>0.14348599500000001</v>
      </c>
      <c r="D8" s="313"/>
      <c r="E8" s="40"/>
      <c r="F8" s="39" t="s">
        <v>87</v>
      </c>
      <c r="G8" s="347">
        <f>MAX(H13:H108)</f>
        <v>0.1036868646</v>
      </c>
      <c r="H8" s="313"/>
      <c r="J8" s="41" t="s">
        <v>87</v>
      </c>
      <c r="K8" s="347">
        <f>MAX(L13:L108)</f>
        <v>6.2109357130000001E-2</v>
      </c>
      <c r="L8" s="313"/>
      <c r="N8" s="41" t="s">
        <v>87</v>
      </c>
      <c r="O8" s="347">
        <f>MAX(P13:P108)</f>
        <v>4.726112054E-2</v>
      </c>
      <c r="P8" s="313"/>
      <c r="R8" s="42" t="s">
        <v>87</v>
      </c>
      <c r="S8" s="347">
        <f>MAX(T13:T108)</f>
        <v>7.9190942E-2</v>
      </c>
      <c r="T8" s="313"/>
      <c r="V8" s="42" t="s">
        <v>87</v>
      </c>
      <c r="W8" s="347">
        <f>MAX(X13:X108)</f>
        <v>3.8002719999999997E-2</v>
      </c>
      <c r="X8" s="313"/>
      <c r="Y8" s="43"/>
      <c r="Z8" s="44" t="s">
        <v>87</v>
      </c>
      <c r="AA8" s="347">
        <f>MAX(AB13:AB108)</f>
        <v>0.51</v>
      </c>
      <c r="AB8" s="313"/>
      <c r="AD8" s="44" t="s">
        <v>87</v>
      </c>
      <c r="AE8" s="347">
        <f>MAX(AF13:AF108)</f>
        <v>0.69204600000000005</v>
      </c>
      <c r="AF8" s="313"/>
      <c r="AG8" s="43"/>
      <c r="AH8" s="45" t="s">
        <v>87</v>
      </c>
      <c r="AI8" s="347">
        <f>MAX(AJ13:AJ108)</f>
        <v>0.14000000000000001</v>
      </c>
      <c r="AJ8" s="313"/>
      <c r="AL8" s="45" t="s">
        <v>87</v>
      </c>
      <c r="AM8" s="347">
        <f>MAX(AN13:AN108)</f>
        <v>6.6710967999999995E-2</v>
      </c>
      <c r="AN8" s="313"/>
      <c r="AO8" s="43"/>
      <c r="AP8" s="46" t="s">
        <v>87</v>
      </c>
      <c r="AQ8" s="347">
        <f>MAX(AR13:AR108)</f>
        <v>3.2290909E-2</v>
      </c>
      <c r="AR8" s="313"/>
      <c r="AT8" s="46" t="s">
        <v>87</v>
      </c>
      <c r="AU8" s="347">
        <f>MAX(AV13:AV108)</f>
        <v>2.1770478999999999E-2</v>
      </c>
      <c r="AV8" s="313"/>
      <c r="AX8" s="47" t="s">
        <v>87</v>
      </c>
      <c r="AY8" s="347">
        <f>MAX(AZ13:AZ108)</f>
        <v>0.271389098</v>
      </c>
      <c r="AZ8" s="313"/>
      <c r="BB8" s="47" t="s">
        <v>87</v>
      </c>
      <c r="BC8" s="347">
        <f>MAX(BD13:BD108)</f>
        <v>0.24407621500000001</v>
      </c>
      <c r="BD8" s="313"/>
    </row>
    <row r="9" spans="1:56" ht="18.75">
      <c r="B9" s="39" t="s">
        <v>88</v>
      </c>
      <c r="C9" s="347">
        <f>MIN(D13:D108)</f>
        <v>2.0502033480000001E-2</v>
      </c>
      <c r="D9" s="313"/>
      <c r="E9" s="40"/>
      <c r="F9" s="39" t="s">
        <v>88</v>
      </c>
      <c r="G9" s="347">
        <f>MIN(H13:H108)</f>
        <v>9.8425594049999995E-3</v>
      </c>
      <c r="H9" s="313"/>
      <c r="J9" s="41" t="s">
        <v>88</v>
      </c>
      <c r="K9" s="347">
        <f>MIN(L13:L108)</f>
        <v>7.73278426E-4</v>
      </c>
      <c r="L9" s="313"/>
      <c r="N9" s="41" t="s">
        <v>88</v>
      </c>
      <c r="O9" s="347">
        <f>MIN(P13:P108)</f>
        <v>4.1199773630000002E-4</v>
      </c>
      <c r="P9" s="313"/>
      <c r="R9" s="42" t="s">
        <v>88</v>
      </c>
      <c r="S9" s="347">
        <f>MIN(T13:T108)</f>
        <v>1.0557311E-2</v>
      </c>
      <c r="T9" s="313"/>
      <c r="V9" s="42" t="s">
        <v>88</v>
      </c>
      <c r="W9" s="347">
        <f>MIN(X13:X108)</f>
        <v>5.3527080000000003E-3</v>
      </c>
      <c r="X9" s="313"/>
      <c r="Y9" s="43"/>
      <c r="Z9" s="44" t="s">
        <v>88</v>
      </c>
      <c r="AA9" s="347">
        <f>MIN(AB13:AB108)</f>
        <v>0.04</v>
      </c>
      <c r="AB9" s="313"/>
      <c r="AD9" s="44" t="s">
        <v>88</v>
      </c>
      <c r="AE9" s="347">
        <f>MIN(AF13:AF108)</f>
        <v>5.1817200000000001E-2</v>
      </c>
      <c r="AF9" s="313"/>
      <c r="AG9" s="43"/>
      <c r="AH9" s="45" t="s">
        <v>88</v>
      </c>
      <c r="AI9" s="347">
        <f>MIN(AJ13:AJ108)</f>
        <v>0</v>
      </c>
      <c r="AJ9" s="313"/>
      <c r="AL9" s="45" t="s">
        <v>88</v>
      </c>
      <c r="AM9" s="347">
        <f>MIN(AN13:AN108)</f>
        <v>6.0494699999999999E-4</v>
      </c>
      <c r="AN9" s="313"/>
      <c r="AO9" s="43"/>
      <c r="AP9" s="46" t="s">
        <v>88</v>
      </c>
      <c r="AQ9" s="347">
        <f>MIN(AR13:AR108)</f>
        <v>4.4183800000000001E-4</v>
      </c>
      <c r="AR9" s="313"/>
      <c r="AT9" s="46" t="s">
        <v>88</v>
      </c>
      <c r="AU9" s="347">
        <f>MIN(AV13:AV108)</f>
        <v>2.3460399999999999E-4</v>
      </c>
      <c r="AV9" s="313"/>
      <c r="AX9" s="47" t="s">
        <v>88</v>
      </c>
      <c r="AY9" s="347">
        <f>MIN(AZ13:AZ108)</f>
        <v>3.6566269999999998E-2</v>
      </c>
      <c r="AZ9" s="313"/>
      <c r="BB9" s="47" t="s">
        <v>88</v>
      </c>
      <c r="BC9" s="347">
        <f>MIN(BD13:BD108)</f>
        <v>3.5173092000000003E-2</v>
      </c>
      <c r="BD9" s="313"/>
    </row>
    <row r="10" spans="1:56">
      <c r="C10" s="48"/>
      <c r="D10" s="48"/>
      <c r="E10" s="40"/>
      <c r="K10" s="49"/>
      <c r="L10" s="49"/>
      <c r="O10" s="49"/>
      <c r="P10" s="49"/>
      <c r="S10" s="49"/>
      <c r="T10" s="49"/>
      <c r="W10" s="49"/>
      <c r="X10" s="49"/>
      <c r="Y10" s="49"/>
      <c r="AA10" s="49"/>
      <c r="AB10" s="49"/>
      <c r="AE10" s="49"/>
      <c r="AF10" s="49"/>
      <c r="AG10" s="49"/>
      <c r="AI10" s="49"/>
      <c r="AJ10" s="49"/>
      <c r="AM10" s="49"/>
      <c r="AN10" s="49"/>
      <c r="AO10" s="49"/>
      <c r="AQ10" s="49"/>
      <c r="AR10" s="49"/>
      <c r="AU10" s="49"/>
      <c r="AV10" s="49"/>
      <c r="AY10" s="49"/>
      <c r="AZ10" s="49"/>
      <c r="BC10" s="49"/>
      <c r="BD10" s="49"/>
    </row>
    <row r="11" spans="1:56">
      <c r="C11" s="311" t="s">
        <v>89</v>
      </c>
      <c r="D11" s="313"/>
      <c r="E11" s="40"/>
      <c r="G11" s="314" t="s">
        <v>90</v>
      </c>
      <c r="H11" s="313"/>
      <c r="K11" s="349" t="s">
        <v>89</v>
      </c>
      <c r="L11" s="313"/>
      <c r="O11" s="348" t="s">
        <v>90</v>
      </c>
      <c r="P11" s="313"/>
      <c r="S11" s="349" t="s">
        <v>89</v>
      </c>
      <c r="T11" s="313"/>
      <c r="W11" s="348" t="s">
        <v>90</v>
      </c>
      <c r="X11" s="313"/>
      <c r="Y11" s="12"/>
      <c r="AA11" s="349" t="s">
        <v>89</v>
      </c>
      <c r="AB11" s="313"/>
      <c r="AE11" s="348" t="s">
        <v>90</v>
      </c>
      <c r="AF11" s="313"/>
      <c r="AG11" s="12"/>
      <c r="AI11" s="349" t="s">
        <v>89</v>
      </c>
      <c r="AJ11" s="313"/>
      <c r="AM11" s="348" t="s">
        <v>90</v>
      </c>
      <c r="AN11" s="313"/>
      <c r="AO11" s="12"/>
      <c r="AQ11" s="349" t="s">
        <v>89</v>
      </c>
      <c r="AR11" s="313"/>
      <c r="AU11" s="348" t="s">
        <v>90</v>
      </c>
      <c r="AV11" s="313"/>
      <c r="AY11" s="349" t="s">
        <v>89</v>
      </c>
      <c r="AZ11" s="313"/>
      <c r="BC11" s="348" t="s">
        <v>90</v>
      </c>
      <c r="BD11" s="313"/>
    </row>
    <row r="12" spans="1:56">
      <c r="C12" s="50" t="s">
        <v>91</v>
      </c>
      <c r="D12" s="51" t="s">
        <v>92</v>
      </c>
      <c r="G12" s="52" t="s">
        <v>91</v>
      </c>
      <c r="H12" s="52" t="s">
        <v>92</v>
      </c>
      <c r="K12" s="52" t="s">
        <v>91</v>
      </c>
      <c r="L12" s="52" t="s">
        <v>92</v>
      </c>
      <c r="O12" s="52" t="s">
        <v>91</v>
      </c>
      <c r="P12" s="52" t="s">
        <v>92</v>
      </c>
      <c r="S12" s="52" t="s">
        <v>91</v>
      </c>
      <c r="T12" s="52" t="s">
        <v>92</v>
      </c>
      <c r="W12" s="52" t="s">
        <v>91</v>
      </c>
      <c r="X12" s="52" t="s">
        <v>92</v>
      </c>
      <c r="Y12" s="53"/>
      <c r="AA12" s="52" t="s">
        <v>91</v>
      </c>
      <c r="AB12" s="52" t="s">
        <v>92</v>
      </c>
      <c r="AE12" s="52" t="s">
        <v>91</v>
      </c>
      <c r="AF12" s="52" t="s">
        <v>92</v>
      </c>
      <c r="AG12" s="53"/>
      <c r="AI12" s="52" t="s">
        <v>91</v>
      </c>
      <c r="AJ12" s="52" t="s">
        <v>92</v>
      </c>
      <c r="AM12" s="52" t="s">
        <v>91</v>
      </c>
      <c r="AN12" s="52" t="s">
        <v>92</v>
      </c>
      <c r="AO12" s="53"/>
      <c r="AQ12" s="52" t="s">
        <v>91</v>
      </c>
      <c r="AR12" s="52" t="s">
        <v>92</v>
      </c>
      <c r="AU12" s="52" t="s">
        <v>91</v>
      </c>
      <c r="AV12" s="52" t="s">
        <v>92</v>
      </c>
      <c r="AY12" s="52" t="s">
        <v>91</v>
      </c>
      <c r="AZ12" s="52" t="s">
        <v>92</v>
      </c>
      <c r="BC12" s="52" t="s">
        <v>91</v>
      </c>
      <c r="BD12" s="52" t="s">
        <v>92</v>
      </c>
    </row>
    <row r="13" spans="1:56">
      <c r="C13" s="54">
        <v>0</v>
      </c>
      <c r="D13" s="55">
        <v>4.7152528870000002E-2</v>
      </c>
      <c r="G13" s="56">
        <v>0</v>
      </c>
      <c r="H13" s="57">
        <v>3.2783751489999999E-2</v>
      </c>
      <c r="K13" s="56">
        <v>0</v>
      </c>
      <c r="L13" s="57">
        <v>1.0967741939999999E-2</v>
      </c>
      <c r="O13" s="56">
        <v>0</v>
      </c>
      <c r="P13" s="57">
        <v>1.261346916E-2</v>
      </c>
      <c r="S13" s="56">
        <v>0</v>
      </c>
      <c r="T13" s="57">
        <v>2.8347951E-2</v>
      </c>
      <c r="W13" s="56">
        <v>0</v>
      </c>
      <c r="X13" s="57">
        <v>1.5725320000000001E-2</v>
      </c>
      <c r="Y13" s="58"/>
      <c r="AA13" s="56">
        <v>0</v>
      </c>
      <c r="AB13" s="57">
        <v>0.43</v>
      </c>
      <c r="AE13" s="56">
        <v>0</v>
      </c>
      <c r="AF13" s="57">
        <v>0.56920839999999995</v>
      </c>
      <c r="AG13" s="58"/>
      <c r="AI13" s="56">
        <v>0</v>
      </c>
      <c r="AJ13" s="57">
        <v>0.05</v>
      </c>
      <c r="AM13" s="56">
        <v>0</v>
      </c>
      <c r="AN13" s="57">
        <v>2.2687958000000001E-2</v>
      </c>
      <c r="AO13" s="58"/>
      <c r="AQ13" s="56">
        <v>0</v>
      </c>
      <c r="AR13" s="57">
        <v>8.6412499999999998E-4</v>
      </c>
      <c r="AU13" s="56">
        <v>0</v>
      </c>
      <c r="AV13" s="57">
        <v>8.83675E-4</v>
      </c>
      <c r="AY13" s="56">
        <v>0</v>
      </c>
      <c r="AZ13" s="57">
        <v>0.126446477</v>
      </c>
      <c r="BC13" s="56">
        <v>0</v>
      </c>
      <c r="BD13" s="57">
        <v>9.8235242E-2</v>
      </c>
    </row>
    <row r="14" spans="1:56">
      <c r="C14" s="54">
        <v>1.0416666666666666E-2</v>
      </c>
      <c r="D14" s="55">
        <v>4.0700915970000001E-2</v>
      </c>
      <c r="G14" s="56">
        <v>1.0416666666666666E-2</v>
      </c>
      <c r="H14" s="57">
        <v>3.1530598700000002E-2</v>
      </c>
      <c r="K14" s="56">
        <v>1.0416666666666666E-2</v>
      </c>
      <c r="L14" s="57">
        <v>9.1786776480000005E-3</v>
      </c>
      <c r="O14" s="56">
        <v>1.0416666666666666E-2</v>
      </c>
      <c r="P14" s="57">
        <v>1.258630447E-2</v>
      </c>
      <c r="S14" s="56">
        <v>1.0416666666666666E-2</v>
      </c>
      <c r="T14" s="57">
        <v>2.6810232E-2</v>
      </c>
      <c r="W14" s="56">
        <v>1.0416666666666666E-2</v>
      </c>
      <c r="X14" s="57">
        <v>1.5803714999999999E-2</v>
      </c>
      <c r="Y14" s="58"/>
      <c r="AA14" s="56">
        <v>1.0416666666666666E-2</v>
      </c>
      <c r="AB14" s="57">
        <v>0.43</v>
      </c>
      <c r="AE14" s="56">
        <v>1.0416666666666666E-2</v>
      </c>
      <c r="AF14" s="57">
        <v>0.55796319999999999</v>
      </c>
      <c r="AG14" s="58"/>
      <c r="AI14" s="56">
        <v>1.0416666666666666E-2</v>
      </c>
      <c r="AJ14" s="57">
        <v>0.05</v>
      </c>
      <c r="AM14" s="56">
        <v>1.0416666666666666E-2</v>
      </c>
      <c r="AN14" s="57">
        <v>1.9589958000000001E-2</v>
      </c>
      <c r="AO14" s="58"/>
      <c r="AQ14" s="56">
        <v>1.0416666666666666E-2</v>
      </c>
      <c r="AR14" s="57">
        <v>1.407625E-3</v>
      </c>
      <c r="AU14" s="56">
        <v>1.0416666666666666E-2</v>
      </c>
      <c r="AV14" s="57">
        <v>8.9540599999999996E-4</v>
      </c>
      <c r="AY14" s="56">
        <v>1.0416666666666666E-2</v>
      </c>
      <c r="AZ14" s="57">
        <v>0.107661222</v>
      </c>
      <c r="BC14" s="56">
        <v>1.0416666666666666E-2</v>
      </c>
      <c r="BD14" s="57">
        <v>8.8483612000000003E-2</v>
      </c>
    </row>
    <row r="15" spans="1:56">
      <c r="C15" s="54">
        <v>2.0833333333333332E-2</v>
      </c>
      <c r="D15" s="55">
        <v>3.9348997740000002E-2</v>
      </c>
      <c r="F15" s="40"/>
      <c r="G15" s="56">
        <v>2.0833333333333332E-2</v>
      </c>
      <c r="H15" s="57">
        <v>2.9513872300000001E-2</v>
      </c>
      <c r="K15" s="56">
        <v>2.0833333333333332E-2</v>
      </c>
      <c r="L15" s="57">
        <v>7.0830473579999997E-3</v>
      </c>
      <c r="O15" s="56">
        <v>2.0833333333333332E-2</v>
      </c>
      <c r="P15" s="57">
        <v>9.6162988120000008E-3</v>
      </c>
      <c r="S15" s="56">
        <v>2.0833333333333332E-2</v>
      </c>
      <c r="T15" s="57">
        <v>2.5732405E-2</v>
      </c>
      <c r="W15" s="56">
        <v>2.0833333333333332E-2</v>
      </c>
      <c r="X15" s="57">
        <v>1.3155205999999999E-2</v>
      </c>
      <c r="Y15" s="58"/>
      <c r="AA15" s="56">
        <v>2.0833333333333332E-2</v>
      </c>
      <c r="AB15" s="57">
        <v>0.42</v>
      </c>
      <c r="AE15" s="56">
        <v>2.0833333333333332E-2</v>
      </c>
      <c r="AF15" s="57">
        <v>0.54525040000000002</v>
      </c>
      <c r="AG15" s="58"/>
      <c r="AI15" s="56">
        <v>2.0833333333333332E-2</v>
      </c>
      <c r="AJ15" s="57">
        <v>0.04</v>
      </c>
      <c r="AM15" s="56">
        <v>2.0833333333333332E-2</v>
      </c>
      <c r="AN15" s="57">
        <v>1.7194779E-2</v>
      </c>
      <c r="AO15" s="58"/>
      <c r="AQ15" s="56">
        <v>2.0833333333333332E-2</v>
      </c>
      <c r="AR15" s="57">
        <v>8.5083100000000003E-4</v>
      </c>
      <c r="AU15" s="56">
        <v>2.0833333333333332E-2</v>
      </c>
      <c r="AV15" s="57">
        <v>4.8797700000000001E-4</v>
      </c>
      <c r="AY15" s="56">
        <v>2.0833333333333332E-2</v>
      </c>
      <c r="AZ15" s="57">
        <v>0.103526885</v>
      </c>
      <c r="BC15" s="56">
        <v>2.0833333333333332E-2</v>
      </c>
      <c r="BD15" s="57">
        <v>7.6516016000000006E-2</v>
      </c>
    </row>
    <row r="16" spans="1:56">
      <c r="C16" s="54">
        <v>3.125E-2</v>
      </c>
      <c r="D16" s="55">
        <v>3.4019912389999997E-2</v>
      </c>
      <c r="G16" s="56">
        <v>3.125E-2</v>
      </c>
      <c r="H16" s="57">
        <v>2.4652064250000001E-2</v>
      </c>
      <c r="K16" s="56">
        <v>3.125E-2</v>
      </c>
      <c r="L16" s="57">
        <v>7.7602379320000003E-3</v>
      </c>
      <c r="O16" s="56">
        <v>3.125E-2</v>
      </c>
      <c r="P16" s="57">
        <v>8.4301075270000001E-3</v>
      </c>
      <c r="S16" s="56">
        <v>3.125E-2</v>
      </c>
      <c r="T16" s="57">
        <v>2.4863677000000001E-2</v>
      </c>
      <c r="W16" s="56">
        <v>3.125E-2</v>
      </c>
      <c r="X16" s="57">
        <v>1.2782988E-2</v>
      </c>
      <c r="Y16" s="58"/>
      <c r="AA16" s="56">
        <v>3.125E-2</v>
      </c>
      <c r="AB16" s="57">
        <v>0.41</v>
      </c>
      <c r="AE16" s="56">
        <v>3.125E-2</v>
      </c>
      <c r="AF16" s="57">
        <v>0.52661599999999997</v>
      </c>
      <c r="AG16" s="58"/>
      <c r="AI16" s="56">
        <v>3.125E-2</v>
      </c>
      <c r="AJ16" s="57">
        <v>0.04</v>
      </c>
      <c r="AM16" s="56">
        <v>3.125E-2</v>
      </c>
      <c r="AN16" s="57">
        <v>1.4691432000000001E-2</v>
      </c>
      <c r="AO16" s="58"/>
      <c r="AQ16" s="56">
        <v>3.125E-2</v>
      </c>
      <c r="AR16" s="57">
        <v>7.5073299999999996E-4</v>
      </c>
      <c r="AU16" s="56">
        <v>3.125E-2</v>
      </c>
      <c r="AV16" s="57">
        <v>4.2619700000000001E-4</v>
      </c>
      <c r="AY16" s="56">
        <v>3.125E-2</v>
      </c>
      <c r="AZ16" s="57">
        <v>9.7126250999999997E-2</v>
      </c>
      <c r="BC16" s="56">
        <v>3.125E-2</v>
      </c>
      <c r="BD16" s="57">
        <v>6.8781492E-2</v>
      </c>
    </row>
    <row r="17" spans="3:56">
      <c r="C17" s="54">
        <v>4.1666666666666664E-2</v>
      </c>
      <c r="D17" s="55">
        <v>3.82954998E-2</v>
      </c>
      <c r="G17" s="56">
        <v>4.1666666666666664E-2</v>
      </c>
      <c r="H17" s="57">
        <v>2.0193813889999999E-2</v>
      </c>
      <c r="K17" s="56">
        <v>4.1666666666666664E-2</v>
      </c>
      <c r="L17" s="57">
        <v>8.0073209789999992E-3</v>
      </c>
      <c r="O17" s="56">
        <v>4.1666666666666664E-2</v>
      </c>
      <c r="P17" s="57">
        <v>8.0452744770000001E-3</v>
      </c>
      <c r="S17" s="56">
        <v>4.1666666666666664E-2</v>
      </c>
      <c r="T17" s="57">
        <v>2.2582505999999999E-2</v>
      </c>
      <c r="W17" s="56">
        <v>4.1666666666666664E-2</v>
      </c>
      <c r="X17" s="57">
        <v>1.0817441000000001E-2</v>
      </c>
      <c r="Y17" s="58"/>
      <c r="AA17" s="56">
        <v>4.1666666666666664E-2</v>
      </c>
      <c r="AB17" s="57">
        <v>0.39</v>
      </c>
      <c r="AE17" s="56">
        <v>4.1666666666666664E-2</v>
      </c>
      <c r="AF17" s="57">
        <v>0.5086176</v>
      </c>
      <c r="AG17" s="58"/>
      <c r="AI17" s="56">
        <v>4.1666666666666664E-2</v>
      </c>
      <c r="AJ17" s="57">
        <v>0.04</v>
      </c>
      <c r="AM17" s="56">
        <v>4.1666666666666664E-2</v>
      </c>
      <c r="AN17" s="57">
        <v>1.3467853E-2</v>
      </c>
      <c r="AO17" s="58"/>
      <c r="AQ17" s="56">
        <v>4.1666666666666664E-2</v>
      </c>
      <c r="AR17" s="57">
        <v>7.5464300000000005E-4</v>
      </c>
      <c r="AU17" s="56">
        <v>4.1666666666666664E-2</v>
      </c>
      <c r="AV17" s="57">
        <v>3.94917E-4</v>
      </c>
      <c r="AY17" s="56">
        <v>4.1666666666666664E-2</v>
      </c>
      <c r="AZ17" s="57">
        <v>0.105182045</v>
      </c>
      <c r="BC17" s="56">
        <v>4.1666666666666664E-2</v>
      </c>
      <c r="BD17" s="57">
        <v>6.2823378999999999E-2</v>
      </c>
    </row>
    <row r="18" spans="3:56">
      <c r="C18" s="54">
        <v>5.2083333333333336E-2</v>
      </c>
      <c r="D18" s="55">
        <v>3.1212000529999999E-2</v>
      </c>
      <c r="G18" s="56">
        <v>5.2083333333333336E-2</v>
      </c>
      <c r="H18" s="57">
        <v>1.7953006769999998E-2</v>
      </c>
      <c r="K18" s="56">
        <v>5.2083333333333336E-2</v>
      </c>
      <c r="L18" s="57">
        <v>7.6321207960000003E-3</v>
      </c>
      <c r="O18" s="56">
        <v>5.2083333333333336E-2</v>
      </c>
      <c r="P18" s="57">
        <v>6.1663837010000003E-3</v>
      </c>
      <c r="S18" s="56">
        <v>5.2083333333333336E-2</v>
      </c>
      <c r="T18" s="57">
        <v>2.2524342999999999E-2</v>
      </c>
      <c r="W18" s="56">
        <v>5.2083333333333336E-2</v>
      </c>
      <c r="X18" s="57">
        <v>1.0459835000000001E-2</v>
      </c>
      <c r="Y18" s="58"/>
      <c r="AA18" s="56">
        <v>5.2083333333333336E-2</v>
      </c>
      <c r="AB18" s="57">
        <v>0.38</v>
      </c>
      <c r="AE18" s="56">
        <v>5.2083333333333336E-2</v>
      </c>
      <c r="AF18" s="57">
        <v>0.48611159999999998</v>
      </c>
      <c r="AG18" s="58"/>
      <c r="AI18" s="56">
        <v>5.2083333333333336E-2</v>
      </c>
      <c r="AJ18" s="57">
        <v>0.03</v>
      </c>
      <c r="AM18" s="56">
        <v>5.2083333333333336E-2</v>
      </c>
      <c r="AN18" s="57">
        <v>1.1739832E-2</v>
      </c>
      <c r="AO18" s="58"/>
      <c r="AQ18" s="56">
        <v>5.2083333333333336E-2</v>
      </c>
      <c r="AR18" s="57">
        <v>9.6187699999999998E-4</v>
      </c>
      <c r="AU18" s="56">
        <v>5.2083333333333336E-2</v>
      </c>
      <c r="AV18" s="57">
        <v>3.36266E-4</v>
      </c>
      <c r="AY18" s="56">
        <v>5.2083333333333336E-2</v>
      </c>
      <c r="AZ18" s="57">
        <v>9.6326096E-2</v>
      </c>
      <c r="BC18" s="56">
        <v>5.2083333333333336E-2</v>
      </c>
      <c r="BD18" s="57">
        <v>6.1014655000000001E-2</v>
      </c>
    </row>
    <row r="19" spans="3:56">
      <c r="C19" s="54">
        <v>6.25E-2</v>
      </c>
      <c r="D19" s="55">
        <v>2.9029603080000001E-2</v>
      </c>
      <c r="G19" s="56">
        <v>6.25E-2</v>
      </c>
      <c r="H19" s="57">
        <v>1.916792778E-2</v>
      </c>
      <c r="K19" s="56">
        <v>6.25E-2</v>
      </c>
      <c r="L19" s="57">
        <v>8.2351864560000002E-3</v>
      </c>
      <c r="O19" s="56">
        <v>6.25E-2</v>
      </c>
      <c r="P19" s="57">
        <v>5.0843237130000002E-3</v>
      </c>
      <c r="S19" s="56">
        <v>6.25E-2</v>
      </c>
      <c r="T19" s="57">
        <v>2.1043573999999999E-2</v>
      </c>
      <c r="W19" s="56">
        <v>6.25E-2</v>
      </c>
      <c r="X19" s="57">
        <v>9.4179820000000001E-3</v>
      </c>
      <c r="Y19" s="58"/>
      <c r="AA19" s="56">
        <v>6.25E-2</v>
      </c>
      <c r="AB19" s="57">
        <v>0.37</v>
      </c>
      <c r="AE19" s="56">
        <v>6.25E-2</v>
      </c>
      <c r="AF19" s="57">
        <v>0.46337640000000002</v>
      </c>
      <c r="AG19" s="58"/>
      <c r="AI19" s="56">
        <v>6.25E-2</v>
      </c>
      <c r="AJ19" s="57">
        <v>0.03</v>
      </c>
      <c r="AM19" s="56">
        <v>6.25E-2</v>
      </c>
      <c r="AN19" s="57">
        <v>1.0375116E-2</v>
      </c>
      <c r="AO19" s="58"/>
      <c r="AQ19" s="56">
        <v>6.25E-2</v>
      </c>
      <c r="AR19" s="57">
        <v>8.2502400000000005E-4</v>
      </c>
      <c r="AU19" s="56">
        <v>6.25E-2</v>
      </c>
      <c r="AV19" s="57">
        <v>3.6285400000000002E-4</v>
      </c>
      <c r="AY19" s="56">
        <v>6.25E-2</v>
      </c>
      <c r="AZ19" s="57">
        <v>9.2310671999999996E-2</v>
      </c>
      <c r="BC19" s="56">
        <v>6.25E-2</v>
      </c>
      <c r="BD19" s="57">
        <v>5.7651082999999999E-2</v>
      </c>
    </row>
    <row r="20" spans="3:56">
      <c r="C20" s="54">
        <v>7.2916666666666671E-2</v>
      </c>
      <c r="D20" s="55">
        <v>2.6625248899999999E-2</v>
      </c>
      <c r="G20" s="56">
        <v>7.2916666666666671E-2</v>
      </c>
      <c r="H20" s="57">
        <v>1.741988584E-2</v>
      </c>
      <c r="K20" s="56">
        <v>7.2916666666666671E-2</v>
      </c>
      <c r="L20" s="57">
        <v>6.392129947E-3</v>
      </c>
      <c r="O20" s="56">
        <v>7.2916666666666671E-2</v>
      </c>
      <c r="P20" s="57">
        <v>4.0611205429999997E-3</v>
      </c>
      <c r="S20" s="56">
        <v>7.2916666666666671E-2</v>
      </c>
      <c r="T20" s="57">
        <v>2.0052763000000001E-2</v>
      </c>
      <c r="W20" s="56">
        <v>7.2916666666666671E-2</v>
      </c>
      <c r="X20" s="57">
        <v>8.5485869999999999E-3</v>
      </c>
      <c r="Y20" s="58"/>
      <c r="AA20" s="56">
        <v>7.2916666666666671E-2</v>
      </c>
      <c r="AB20" s="57">
        <v>0.35</v>
      </c>
      <c r="AE20" s="56">
        <v>7.2916666666666671E-2</v>
      </c>
      <c r="AF20" s="57">
        <v>0.4409324</v>
      </c>
      <c r="AG20" s="58"/>
      <c r="AI20" s="56">
        <v>7.2916666666666671E-2</v>
      </c>
      <c r="AJ20" s="57">
        <v>0.02</v>
      </c>
      <c r="AM20" s="56">
        <v>7.2916666666666671E-2</v>
      </c>
      <c r="AN20" s="57">
        <v>8.7835159999999999E-3</v>
      </c>
      <c r="AO20" s="58"/>
      <c r="AQ20" s="56">
        <v>7.2916666666666671E-2</v>
      </c>
      <c r="AR20" s="57">
        <v>4.4183800000000001E-4</v>
      </c>
      <c r="AU20" s="56">
        <v>7.2916666666666671E-2</v>
      </c>
      <c r="AV20" s="57">
        <v>2.4633400000000002E-4</v>
      </c>
      <c r="AY20" s="56">
        <v>7.2916666666666671E-2</v>
      </c>
      <c r="AZ20" s="57">
        <v>9.4417165999999997E-2</v>
      </c>
      <c r="BC20" s="56">
        <v>7.2916666666666671E-2</v>
      </c>
      <c r="BD20" s="57">
        <v>5.2480172999999998E-2</v>
      </c>
    </row>
    <row r="21" spans="3:56">
      <c r="C21" s="54">
        <v>8.3333333333333329E-2</v>
      </c>
      <c r="D21" s="55">
        <v>3.0213726270000001E-2</v>
      </c>
      <c r="G21" s="56">
        <v>8.3333333333333329E-2</v>
      </c>
      <c r="H21" s="57">
        <v>1.2027080839999999E-2</v>
      </c>
      <c r="K21" s="56">
        <v>8.3333333333333329E-2</v>
      </c>
      <c r="L21" s="57">
        <v>6.7536032940000001E-3</v>
      </c>
      <c r="O21" s="56">
        <v>8.3333333333333329E-2</v>
      </c>
      <c r="P21" s="57">
        <v>3.0016977930000001E-3</v>
      </c>
      <c r="S21" s="56">
        <v>8.3333333333333329E-2</v>
      </c>
      <c r="T21" s="57">
        <v>1.5933200000000002E-2</v>
      </c>
      <c r="W21" s="56">
        <v>8.3333333333333329E-2</v>
      </c>
      <c r="X21" s="57">
        <v>8.3167050000000006E-3</v>
      </c>
      <c r="Y21" s="58"/>
      <c r="AA21" s="56">
        <v>8.3333333333333329E-2</v>
      </c>
      <c r="AB21" s="57">
        <v>0.34</v>
      </c>
      <c r="AE21" s="56">
        <v>8.3333333333333329E-2</v>
      </c>
      <c r="AF21" s="57">
        <v>0.4215932</v>
      </c>
      <c r="AG21" s="58"/>
      <c r="AI21" s="56">
        <v>8.3333333333333329E-2</v>
      </c>
      <c r="AJ21" s="57">
        <v>0.02</v>
      </c>
      <c r="AM21" s="56">
        <v>8.3333333333333329E-2</v>
      </c>
      <c r="AN21" s="57">
        <v>7.7100629999999996E-3</v>
      </c>
      <c r="AO21" s="58"/>
      <c r="AQ21" s="56">
        <v>8.3333333333333329E-2</v>
      </c>
      <c r="AR21" s="57">
        <v>8.7585500000000004E-4</v>
      </c>
      <c r="AU21" s="56">
        <v>8.3333333333333329E-2</v>
      </c>
      <c r="AV21" s="57">
        <v>4.0273700000000002E-4</v>
      </c>
      <c r="AY21" s="56">
        <v>8.3333333333333329E-2</v>
      </c>
      <c r="AZ21" s="57">
        <v>8.6703005999999999E-2</v>
      </c>
      <c r="BC21" s="56">
        <v>8.3333333333333329E-2</v>
      </c>
      <c r="BD21" s="57">
        <v>4.7901032000000003E-2</v>
      </c>
    </row>
    <row r="22" spans="3:56">
      <c r="C22" s="54">
        <v>9.375E-2</v>
      </c>
      <c r="D22" s="55">
        <v>2.5848931370000001E-2</v>
      </c>
      <c r="G22" s="56">
        <v>9.375E-2</v>
      </c>
      <c r="H22" s="57">
        <v>1.5064383380000001E-2</v>
      </c>
      <c r="K22" s="56">
        <v>9.375E-2</v>
      </c>
      <c r="L22" s="57">
        <v>5.5090368340000003E-3</v>
      </c>
      <c r="O22" s="56">
        <v>9.375E-2</v>
      </c>
      <c r="P22" s="57">
        <v>2.241086587E-3</v>
      </c>
      <c r="S22" s="56">
        <v>9.375E-2</v>
      </c>
      <c r="T22" s="57">
        <v>1.5231839E-2</v>
      </c>
      <c r="W22" s="56">
        <v>9.375E-2</v>
      </c>
      <c r="X22" s="57">
        <v>7.7736070000000001E-3</v>
      </c>
      <c r="Y22" s="58"/>
      <c r="AA22" s="56">
        <v>9.375E-2</v>
      </c>
      <c r="AB22" s="57">
        <v>0.33</v>
      </c>
      <c r="AE22" s="56">
        <v>9.375E-2</v>
      </c>
      <c r="AF22" s="57">
        <v>0.40371200000000002</v>
      </c>
      <c r="AG22" s="58"/>
      <c r="AI22" s="56">
        <v>9.375E-2</v>
      </c>
      <c r="AJ22" s="57">
        <v>0.02</v>
      </c>
      <c r="AM22" s="56">
        <v>9.375E-2</v>
      </c>
      <c r="AN22" s="57">
        <v>6.7592420000000004E-3</v>
      </c>
      <c r="AO22" s="58"/>
      <c r="AQ22" s="56">
        <v>9.375E-2</v>
      </c>
      <c r="AR22" s="57">
        <v>1.0948189999999999E-3</v>
      </c>
      <c r="AU22" s="56">
        <v>9.375E-2</v>
      </c>
      <c r="AV22" s="57">
        <v>3.1280499999999998E-4</v>
      </c>
      <c r="AY22" s="56">
        <v>9.375E-2</v>
      </c>
      <c r="AZ22" s="57">
        <v>7.1980267000000001E-2</v>
      </c>
      <c r="BC22" s="56">
        <v>9.375E-2</v>
      </c>
      <c r="BD22" s="57">
        <v>4.3043118999999998E-2</v>
      </c>
    </row>
    <row r="23" spans="3:56">
      <c r="C23" s="54">
        <v>0.10416666666666667</v>
      </c>
      <c r="D23" s="55">
        <v>2.2551440329999999E-2</v>
      </c>
      <c r="G23" s="56">
        <v>0.10416666666666667</v>
      </c>
      <c r="H23" s="57">
        <v>1.6778441519999999E-2</v>
      </c>
      <c r="K23" s="56">
        <v>0.10416666666666667</v>
      </c>
      <c r="L23" s="57">
        <v>4.4063143449999996E-3</v>
      </c>
      <c r="O23" s="56">
        <v>0.10416666666666667</v>
      </c>
      <c r="P23" s="57">
        <v>1.9834252000000001E-3</v>
      </c>
      <c r="S23" s="56">
        <v>0.10416666666666667</v>
      </c>
      <c r="T23" s="57">
        <v>1.3364567000000001E-2</v>
      </c>
      <c r="W23" s="56">
        <v>0.10416666666666667</v>
      </c>
      <c r="X23" s="57">
        <v>8.2090500000000007E-3</v>
      </c>
      <c r="Y23" s="58"/>
      <c r="AA23" s="56">
        <v>0.10416666666666667</v>
      </c>
      <c r="AB23" s="57">
        <v>0.32</v>
      </c>
      <c r="AE23" s="56">
        <v>0.10416666666666667</v>
      </c>
      <c r="AF23" s="57">
        <v>0.38540799999999997</v>
      </c>
      <c r="AG23" s="58"/>
      <c r="AI23" s="56">
        <v>0.10416666666666667</v>
      </c>
      <c r="AJ23" s="57">
        <v>0.02</v>
      </c>
      <c r="AM23" s="56">
        <v>0.10416666666666667</v>
      </c>
      <c r="AN23" s="57">
        <v>5.7810320000000002E-3</v>
      </c>
      <c r="AO23" s="58"/>
      <c r="AQ23" s="56">
        <v>0.10416666666666667</v>
      </c>
      <c r="AR23" s="57">
        <v>1.320821E-3</v>
      </c>
      <c r="AU23" s="56">
        <v>0.10416666666666667</v>
      </c>
      <c r="AV23" s="57">
        <v>2.61193E-4</v>
      </c>
      <c r="AY23" s="56">
        <v>0.10416666666666667</v>
      </c>
      <c r="AZ23" s="57">
        <v>6.1193191000000001E-2</v>
      </c>
      <c r="BC23" s="56">
        <v>0.10416666666666667</v>
      </c>
      <c r="BD23" s="57">
        <v>3.6897592999999999E-2</v>
      </c>
    </row>
    <row r="24" spans="3:56">
      <c r="C24" s="54">
        <v>0.11458333333333333</v>
      </c>
      <c r="D24" s="55">
        <v>2.4101951409999999E-2</v>
      </c>
      <c r="G24" s="56">
        <v>0.11458333333333333</v>
      </c>
      <c r="H24" s="57">
        <v>1.6052037700000001E-2</v>
      </c>
      <c r="K24" s="56">
        <v>0.11458333333333333</v>
      </c>
      <c r="L24" s="57">
        <v>3.5323724550000001E-3</v>
      </c>
      <c r="O24" s="56">
        <v>0.11458333333333333</v>
      </c>
      <c r="P24" s="57">
        <v>1.6933274410000001E-3</v>
      </c>
      <c r="S24" s="56">
        <v>0.11458333333333333</v>
      </c>
      <c r="T24" s="57">
        <v>1.2370786E-2</v>
      </c>
      <c r="W24" s="56">
        <v>0.11458333333333333</v>
      </c>
      <c r="X24" s="57">
        <v>6.9444490000000001E-3</v>
      </c>
      <c r="Y24" s="58"/>
      <c r="AA24" s="56">
        <v>0.11458333333333333</v>
      </c>
      <c r="AB24" s="57">
        <v>0.3</v>
      </c>
      <c r="AE24" s="56">
        <v>0.11458333333333333</v>
      </c>
      <c r="AF24" s="57">
        <v>0.36682120000000001</v>
      </c>
      <c r="AG24" s="58"/>
      <c r="AI24" s="56">
        <v>0.11458333333333333</v>
      </c>
      <c r="AJ24" s="57">
        <v>0.01</v>
      </c>
      <c r="AM24" s="56">
        <v>0.11458333333333333</v>
      </c>
      <c r="AN24" s="57">
        <v>4.8183790000000002E-3</v>
      </c>
      <c r="AO24" s="58"/>
      <c r="AQ24" s="56">
        <v>0.11458333333333333</v>
      </c>
      <c r="AR24" s="57">
        <v>1.13783E-3</v>
      </c>
      <c r="AU24" s="56">
        <v>0.11458333333333333</v>
      </c>
      <c r="AV24" s="57">
        <v>2.3460399999999999E-4</v>
      </c>
      <c r="AY24" s="56">
        <v>0.11458333333333333</v>
      </c>
      <c r="AZ24" s="57">
        <v>5.4431452999999998E-2</v>
      </c>
      <c r="BC24" s="56">
        <v>0.11458333333333333</v>
      </c>
      <c r="BD24" s="57">
        <v>3.5173092000000003E-2</v>
      </c>
    </row>
    <row r="25" spans="3:56">
      <c r="C25" s="54">
        <v>0.125</v>
      </c>
      <c r="D25" s="55">
        <v>2.220629231E-2</v>
      </c>
      <c r="G25" s="56">
        <v>0.125</v>
      </c>
      <c r="H25" s="57">
        <v>1.28341962E-2</v>
      </c>
      <c r="K25" s="56">
        <v>0.125</v>
      </c>
      <c r="L25" s="57">
        <v>2.7224891330000001E-3</v>
      </c>
      <c r="O25" s="56">
        <v>0.125</v>
      </c>
      <c r="P25" s="57">
        <v>1.847198642E-3</v>
      </c>
      <c r="S25" s="56">
        <v>0.125</v>
      </c>
      <c r="T25" s="57">
        <v>1.2101574E-2</v>
      </c>
      <c r="W25" s="56">
        <v>0.125</v>
      </c>
      <c r="X25" s="57">
        <v>7.3894349999999998E-3</v>
      </c>
      <c r="Y25" s="58"/>
      <c r="AA25" s="56">
        <v>0.125</v>
      </c>
      <c r="AB25" s="57">
        <v>0.28999999999999998</v>
      </c>
      <c r="AE25" s="56">
        <v>0.125</v>
      </c>
      <c r="AF25" s="57">
        <v>0.34705839999999999</v>
      </c>
      <c r="AG25" s="58"/>
      <c r="AI25" s="56">
        <v>0.125</v>
      </c>
      <c r="AJ25" s="57">
        <v>0.01</v>
      </c>
      <c r="AM25" s="56">
        <v>0.125</v>
      </c>
      <c r="AN25" s="57">
        <v>3.9021049999999999E-3</v>
      </c>
      <c r="AO25" s="58"/>
      <c r="AQ25" s="56">
        <v>0.125</v>
      </c>
      <c r="AR25" s="57">
        <v>1.3577649999999999E-3</v>
      </c>
      <c r="AU25" s="56">
        <v>0.125</v>
      </c>
      <c r="AV25" s="57">
        <v>3.1280499999999998E-4</v>
      </c>
      <c r="AY25" s="56">
        <v>0.125</v>
      </c>
      <c r="AZ25" s="57">
        <v>4.6952242999999998E-2</v>
      </c>
      <c r="BC25" s="56">
        <v>0.125</v>
      </c>
      <c r="BD25" s="57">
        <v>3.7028797000000002E-2</v>
      </c>
    </row>
    <row r="26" spans="3:56">
      <c r="C26" s="54">
        <v>0.13541666666666666</v>
      </c>
      <c r="D26" s="55">
        <v>2.0549581840000001E-2</v>
      </c>
      <c r="G26" s="56">
        <v>0.13541666666666666</v>
      </c>
      <c r="H26" s="57">
        <v>1.1442984200000001E-2</v>
      </c>
      <c r="K26" s="56">
        <v>0.13541666666666666</v>
      </c>
      <c r="L26" s="57">
        <v>2.868908717E-3</v>
      </c>
      <c r="O26" s="56">
        <v>0.13541666666666666</v>
      </c>
      <c r="P26" s="57">
        <v>1.883418223E-3</v>
      </c>
      <c r="S26" s="56">
        <v>0.13541666666666666</v>
      </c>
      <c r="T26" s="57">
        <v>1.1398215999999999E-2</v>
      </c>
      <c r="W26" s="56">
        <v>0.13541666666666666</v>
      </c>
      <c r="X26" s="57">
        <v>6.7624750000000004E-3</v>
      </c>
      <c r="Y26" s="58"/>
      <c r="AA26" s="56">
        <v>0.13541666666666666</v>
      </c>
      <c r="AB26" s="57">
        <v>0.28000000000000003</v>
      </c>
      <c r="AE26" s="56">
        <v>0.13541666666666666</v>
      </c>
      <c r="AF26" s="57">
        <v>0.32897320000000002</v>
      </c>
      <c r="AG26" s="58"/>
      <c r="AI26" s="56">
        <v>0.13541666666666666</v>
      </c>
      <c r="AJ26" s="57">
        <v>0.01</v>
      </c>
      <c r="AM26" s="56">
        <v>0.13541666666666666</v>
      </c>
      <c r="AN26" s="57">
        <v>3.2136629999999998E-3</v>
      </c>
      <c r="AO26" s="58"/>
      <c r="AQ26" s="56">
        <v>0.13541666666666666</v>
      </c>
      <c r="AR26" s="57">
        <v>1.5014659999999999E-3</v>
      </c>
      <c r="AU26" s="56">
        <v>0.13541666666666666</v>
      </c>
      <c r="AV26" s="57">
        <v>2.6588499999999999E-4</v>
      </c>
      <c r="AY26" s="56">
        <v>0.13541666666666666</v>
      </c>
      <c r="AZ26" s="57">
        <v>4.5126924999999998E-2</v>
      </c>
      <c r="BC26" s="56">
        <v>0.13541666666666666</v>
      </c>
      <c r="BD26" s="57">
        <v>3.9273869000000003E-2</v>
      </c>
    </row>
    <row r="27" spans="3:56">
      <c r="C27" s="54">
        <v>0.14583333333333334</v>
      </c>
      <c r="D27" s="55">
        <v>2.142891278E-2</v>
      </c>
      <c r="G27" s="56">
        <v>0.14583333333333334</v>
      </c>
      <c r="H27" s="57">
        <v>9.8425594049999995E-3</v>
      </c>
      <c r="K27" s="56">
        <v>0.14583333333333334</v>
      </c>
      <c r="L27" s="57">
        <v>2.3335621139999999E-3</v>
      </c>
      <c r="O27" s="56">
        <v>0.14583333333333334</v>
      </c>
      <c r="P27" s="57">
        <v>1.077532541E-3</v>
      </c>
      <c r="S27" s="56">
        <v>0.14583333333333334</v>
      </c>
      <c r="T27" s="57">
        <v>1.0846758999999999E-2</v>
      </c>
      <c r="W27" s="56">
        <v>0.14583333333333334</v>
      </c>
      <c r="X27" s="57">
        <v>7.0485510000000001E-3</v>
      </c>
      <c r="Y27" s="58"/>
      <c r="AA27" s="56">
        <v>0.14583333333333334</v>
      </c>
      <c r="AB27" s="57">
        <v>0.26</v>
      </c>
      <c r="AE27" s="56">
        <v>0.14583333333333334</v>
      </c>
      <c r="AF27" s="57">
        <v>0.31252000000000002</v>
      </c>
      <c r="AG27" s="58"/>
      <c r="AI27" s="56">
        <v>0.14583333333333334</v>
      </c>
      <c r="AJ27" s="57">
        <v>0.01</v>
      </c>
      <c r="AM27" s="56">
        <v>0.14583333333333334</v>
      </c>
      <c r="AN27" s="57">
        <v>2.66E-3</v>
      </c>
      <c r="AO27" s="58"/>
      <c r="AQ27" s="56">
        <v>0.14583333333333334</v>
      </c>
      <c r="AR27" s="57">
        <v>1.166764E-3</v>
      </c>
      <c r="AU27" s="56">
        <v>0.14583333333333334</v>
      </c>
      <c r="AV27" s="57">
        <v>2.6901300000000002E-4</v>
      </c>
      <c r="AY27" s="56">
        <v>0.14583333333333334</v>
      </c>
      <c r="AZ27" s="57">
        <v>4.0386656999999999E-2</v>
      </c>
      <c r="BC27" s="56">
        <v>0.14583333333333334</v>
      </c>
      <c r="BD27" s="57">
        <v>4.2527218999999998E-2</v>
      </c>
    </row>
    <row r="28" spans="3:56">
      <c r="C28" s="54">
        <v>0.15625</v>
      </c>
      <c r="D28" s="55">
        <v>2.0502033480000001E-2</v>
      </c>
      <c r="G28" s="56">
        <v>0.15625</v>
      </c>
      <c r="H28" s="57">
        <v>1.4405947170000001E-2</v>
      </c>
      <c r="K28" s="56">
        <v>0.15625</v>
      </c>
      <c r="L28" s="57">
        <v>2.0178448869999999E-3</v>
      </c>
      <c r="O28" s="56">
        <v>0.15625</v>
      </c>
      <c r="P28" s="57">
        <v>7.0175438600000005E-4</v>
      </c>
      <c r="S28" s="56">
        <v>0.15625</v>
      </c>
      <c r="T28" s="57">
        <v>1.1413071E-2</v>
      </c>
      <c r="W28" s="56">
        <v>0.15625</v>
      </c>
      <c r="X28" s="57">
        <v>5.5304960000000002E-3</v>
      </c>
      <c r="Y28" s="58"/>
      <c r="AA28" s="56">
        <v>0.15625</v>
      </c>
      <c r="AB28" s="57">
        <v>0.25</v>
      </c>
      <c r="AE28" s="56">
        <v>0.15625</v>
      </c>
      <c r="AF28" s="57">
        <v>0.29380919999999999</v>
      </c>
      <c r="AG28" s="58"/>
      <c r="AI28" s="56">
        <v>0.15625</v>
      </c>
      <c r="AJ28" s="57">
        <v>0.01</v>
      </c>
      <c r="AM28" s="56">
        <v>0.15625</v>
      </c>
      <c r="AN28" s="57">
        <v>2.248758E-3</v>
      </c>
      <c r="AO28" s="58"/>
      <c r="AQ28" s="56">
        <v>0.15625</v>
      </c>
      <c r="AR28" s="57">
        <v>1.0244379999999999E-3</v>
      </c>
      <c r="AU28" s="56">
        <v>0.15625</v>
      </c>
      <c r="AV28" s="57">
        <v>2.5415399999999998E-4</v>
      </c>
      <c r="AY28" s="56">
        <v>0.15625</v>
      </c>
      <c r="AZ28" s="57">
        <v>3.7755333000000002E-2</v>
      </c>
      <c r="BC28" s="56">
        <v>0.15625</v>
      </c>
      <c r="BD28" s="57">
        <v>4.5716339000000002E-2</v>
      </c>
    </row>
    <row r="29" spans="3:56">
      <c r="C29" s="54">
        <v>0.16666666666666666</v>
      </c>
      <c r="D29" s="55">
        <v>2.103809903E-2</v>
      </c>
      <c r="G29" s="56">
        <v>0.16666666666666666</v>
      </c>
      <c r="H29" s="57">
        <v>1.513341298E-2</v>
      </c>
      <c r="K29" s="56">
        <v>0.16666666666666666</v>
      </c>
      <c r="L29" s="57">
        <v>2.0361473349999998E-3</v>
      </c>
      <c r="O29" s="56">
        <v>0.16666666666666666</v>
      </c>
      <c r="P29" s="57">
        <v>4.753820034E-4</v>
      </c>
      <c r="S29" s="56">
        <v>0.16666666666666666</v>
      </c>
      <c r="T29" s="57">
        <v>1.0664214E-2</v>
      </c>
      <c r="W29" s="56">
        <v>0.16666666666666666</v>
      </c>
      <c r="X29" s="57">
        <v>5.3527080000000003E-3</v>
      </c>
      <c r="Y29" s="58"/>
      <c r="AA29" s="56">
        <v>0.16666666666666666</v>
      </c>
      <c r="AB29" s="57">
        <v>0.24</v>
      </c>
      <c r="AE29" s="56">
        <v>0.16666666666666666</v>
      </c>
      <c r="AF29" s="57">
        <v>0.27622479999999999</v>
      </c>
      <c r="AG29" s="58"/>
      <c r="AI29" s="56">
        <v>0.16666666666666666</v>
      </c>
      <c r="AJ29" s="57">
        <v>0.01</v>
      </c>
      <c r="AM29" s="56">
        <v>0.16666666666666666</v>
      </c>
      <c r="AN29" s="57">
        <v>1.739074E-3</v>
      </c>
      <c r="AO29" s="58"/>
      <c r="AQ29" s="56">
        <v>0.16666666666666666</v>
      </c>
      <c r="AR29" s="57">
        <v>9.57967E-4</v>
      </c>
      <c r="AU29" s="56">
        <v>0.16666666666666666</v>
      </c>
      <c r="AV29" s="57">
        <v>3.4408600000000001E-4</v>
      </c>
      <c r="AY29" s="56">
        <v>0.16666666666666666</v>
      </c>
      <c r="AZ29" s="57">
        <v>3.6566269999999998E-2</v>
      </c>
      <c r="BC29" s="56">
        <v>0.16666666666666666</v>
      </c>
      <c r="BD29" s="57">
        <v>4.4051729999999997E-2</v>
      </c>
    </row>
    <row r="30" spans="3:56">
      <c r="C30" s="54">
        <v>0.17708333333333334</v>
      </c>
      <c r="D30" s="55">
        <v>3.5024558609999999E-2</v>
      </c>
      <c r="G30" s="56">
        <v>0.17708333333333334</v>
      </c>
      <c r="H30" s="57">
        <v>1.9641577059999998E-2</v>
      </c>
      <c r="K30" s="56">
        <v>0.17708333333333334</v>
      </c>
      <c r="L30" s="57">
        <v>2.0041180509999998E-3</v>
      </c>
      <c r="O30" s="56">
        <v>0.17708333333333334</v>
      </c>
      <c r="P30" s="57">
        <v>6.112054329E-4</v>
      </c>
      <c r="S30" s="56">
        <v>0.17708333333333334</v>
      </c>
      <c r="T30" s="57">
        <v>1.0557311E-2</v>
      </c>
      <c r="W30" s="56">
        <v>0.17708333333333334</v>
      </c>
      <c r="X30" s="57">
        <v>5.7125509999999997E-3</v>
      </c>
      <c r="Y30" s="58"/>
      <c r="AA30" s="56">
        <v>0.17708333333333334</v>
      </c>
      <c r="AB30" s="57">
        <v>0.22</v>
      </c>
      <c r="AE30" s="56">
        <v>0.17708333333333334</v>
      </c>
      <c r="AF30" s="57">
        <v>0.25955919999999999</v>
      </c>
      <c r="AG30" s="58"/>
      <c r="AI30" s="56">
        <v>0.17708333333333334</v>
      </c>
      <c r="AJ30" s="57">
        <v>0.01</v>
      </c>
      <c r="AM30" s="56">
        <v>0.17708333333333334</v>
      </c>
      <c r="AN30" s="57">
        <v>1.399263E-3</v>
      </c>
      <c r="AO30" s="58"/>
      <c r="AQ30" s="56">
        <v>0.17708333333333334</v>
      </c>
      <c r="AR30" s="57">
        <v>6.8817200000000002E-4</v>
      </c>
      <c r="AU30" s="56">
        <v>0.17708333333333334</v>
      </c>
      <c r="AV30" s="57">
        <v>3.0107499999999999E-4</v>
      </c>
      <c r="AY30" s="56">
        <v>0.17708333333333334</v>
      </c>
      <c r="AZ30" s="57">
        <v>3.8915674999999997E-2</v>
      </c>
      <c r="BC30" s="56">
        <v>0.17708333333333334</v>
      </c>
      <c r="BD30" s="57">
        <v>4.7186310000000002E-2</v>
      </c>
    </row>
    <row r="31" spans="3:56">
      <c r="C31" s="54">
        <v>0.1875</v>
      </c>
      <c r="D31" s="55">
        <v>2.1972653660000001E-2</v>
      </c>
      <c r="G31" s="56">
        <v>0.1875</v>
      </c>
      <c r="H31" s="57">
        <v>1.8875879460000002E-2</v>
      </c>
      <c r="K31" s="56">
        <v>0.1875</v>
      </c>
      <c r="L31" s="57">
        <v>1.3269274769999999E-3</v>
      </c>
      <c r="O31" s="56">
        <v>0.1875</v>
      </c>
      <c r="P31" s="57">
        <v>4.1199773630000002E-4</v>
      </c>
      <c r="S31" s="56">
        <v>0.1875</v>
      </c>
      <c r="T31" s="57">
        <v>1.2387674E-2</v>
      </c>
      <c r="W31" s="56">
        <v>0.1875</v>
      </c>
      <c r="X31" s="57">
        <v>6.9476049999999999E-3</v>
      </c>
      <c r="Y31" s="58"/>
      <c r="AA31" s="56">
        <v>0.1875</v>
      </c>
      <c r="AB31" s="57">
        <v>0.21</v>
      </c>
      <c r="AE31" s="56">
        <v>0.1875</v>
      </c>
      <c r="AF31" s="57">
        <v>0.24194679999999999</v>
      </c>
      <c r="AG31" s="58"/>
      <c r="AI31" s="56">
        <v>0.1875</v>
      </c>
      <c r="AJ31" s="57">
        <v>0</v>
      </c>
      <c r="AM31" s="56">
        <v>0.1875</v>
      </c>
      <c r="AN31" s="57">
        <v>1.2738109999999999E-3</v>
      </c>
      <c r="AO31" s="58"/>
      <c r="AQ31" s="56">
        <v>0.1875</v>
      </c>
      <c r="AR31" s="57">
        <v>6.5610899999999999E-4</v>
      </c>
      <c r="AU31" s="56">
        <v>0.1875</v>
      </c>
      <c r="AV31" s="57">
        <v>7.7028299999999997E-4</v>
      </c>
      <c r="AY31" s="56">
        <v>0.1875</v>
      </c>
      <c r="AZ31" s="57">
        <v>5.7177129E-2</v>
      </c>
      <c r="BC31" s="56">
        <v>0.1875</v>
      </c>
      <c r="BD31" s="57">
        <v>5.2468829000000002E-2</v>
      </c>
    </row>
    <row r="32" spans="3:56">
      <c r="C32" s="54">
        <v>0.19791666666666666</v>
      </c>
      <c r="D32" s="55">
        <v>2.1917429969999999E-2</v>
      </c>
      <c r="G32" s="56">
        <v>0.19791666666666666</v>
      </c>
      <c r="H32" s="57">
        <v>1.828222488E-2</v>
      </c>
      <c r="K32" s="56">
        <v>0.19791666666666666</v>
      </c>
      <c r="L32" s="57">
        <v>7.73278426E-4</v>
      </c>
      <c r="O32" s="56">
        <v>0.19791666666666666</v>
      </c>
      <c r="P32" s="57">
        <v>4.9801924170000001E-4</v>
      </c>
      <c r="S32" s="56">
        <v>0.19791666666666666</v>
      </c>
      <c r="T32" s="57">
        <v>1.3384312000000001E-2</v>
      </c>
      <c r="W32" s="56">
        <v>0.19791666666666666</v>
      </c>
      <c r="X32" s="57">
        <v>8.4028920000000003E-3</v>
      </c>
      <c r="Y32" s="58"/>
      <c r="AA32" s="56">
        <v>0.19791666666666666</v>
      </c>
      <c r="AB32" s="57">
        <v>0.2</v>
      </c>
      <c r="AE32" s="56">
        <v>0.19791666666666666</v>
      </c>
      <c r="AF32" s="57">
        <v>0.22619800000000001</v>
      </c>
      <c r="AG32" s="58"/>
      <c r="AI32" s="56">
        <v>0.19791666666666666</v>
      </c>
      <c r="AJ32" s="57">
        <v>0</v>
      </c>
      <c r="AM32" s="56">
        <v>0.19791666666666666</v>
      </c>
      <c r="AN32" s="57">
        <v>1.0921469999999999E-3</v>
      </c>
      <c r="AO32" s="58"/>
      <c r="AQ32" s="56">
        <v>0.19791666666666666</v>
      </c>
      <c r="AR32" s="57">
        <v>1.826002E-3</v>
      </c>
      <c r="AU32" s="56">
        <v>0.19791666666666666</v>
      </c>
      <c r="AV32" s="57">
        <v>1.9980449999999999E-3</v>
      </c>
      <c r="AY32" s="56">
        <v>0.19791666666666666</v>
      </c>
      <c r="AZ32" s="57">
        <v>6.6814296999999995E-2</v>
      </c>
      <c r="BC32" s="56">
        <v>0.19791666666666666</v>
      </c>
      <c r="BD32" s="57">
        <v>5.7222294E-2</v>
      </c>
    </row>
    <row r="33" spans="3:56">
      <c r="C33" s="54">
        <v>0.20833333333333334</v>
      </c>
      <c r="D33" s="55">
        <v>2.2535510420000002E-2</v>
      </c>
      <c r="G33" s="56">
        <v>0.20833333333333334</v>
      </c>
      <c r="H33" s="57">
        <v>1.893004115E-2</v>
      </c>
      <c r="K33" s="56">
        <v>0.20833333333333334</v>
      </c>
      <c r="L33" s="57">
        <v>9.4257606950000003E-4</v>
      </c>
      <c r="O33" s="56">
        <v>0.20833333333333334</v>
      </c>
      <c r="P33" s="57">
        <v>8.0135823430000004E-4</v>
      </c>
      <c r="S33" s="56">
        <v>0.20833333333333334</v>
      </c>
      <c r="T33" s="57">
        <v>1.3263529E-2</v>
      </c>
      <c r="W33" s="56">
        <v>0.20833333333333334</v>
      </c>
      <c r="X33" s="57">
        <v>8.7319960000000005E-3</v>
      </c>
      <c r="Y33" s="58"/>
      <c r="AA33" s="56">
        <v>0.20833333333333334</v>
      </c>
      <c r="AB33" s="57">
        <v>0.19</v>
      </c>
      <c r="AE33" s="56">
        <v>0.20833333333333334</v>
      </c>
      <c r="AF33" s="57">
        <v>0.20829919999999999</v>
      </c>
      <c r="AG33" s="58"/>
      <c r="AI33" s="56">
        <v>0.20833333333333334</v>
      </c>
      <c r="AJ33" s="57">
        <v>0</v>
      </c>
      <c r="AM33" s="56">
        <v>0.20833333333333334</v>
      </c>
      <c r="AN33" s="57">
        <v>7.8117900000000001E-4</v>
      </c>
      <c r="AO33" s="58"/>
      <c r="AQ33" s="56">
        <v>0.20833333333333334</v>
      </c>
      <c r="AR33" s="57">
        <v>9.1495599999999997E-4</v>
      </c>
      <c r="AU33" s="56">
        <v>0.20833333333333334</v>
      </c>
      <c r="AV33" s="57">
        <v>1.403715E-3</v>
      </c>
      <c r="AY33" s="56">
        <v>0.20833333333333334</v>
      </c>
      <c r="AZ33" s="57">
        <v>7.0897634000000001E-2</v>
      </c>
      <c r="BC33" s="56">
        <v>0.20833333333333334</v>
      </c>
      <c r="BD33" s="57">
        <v>5.7576612999999999E-2</v>
      </c>
    </row>
    <row r="34" spans="3:56">
      <c r="C34" s="54">
        <v>0.21875</v>
      </c>
      <c r="D34" s="55">
        <v>2.4001061989999999E-2</v>
      </c>
      <c r="G34" s="56">
        <v>0.21875</v>
      </c>
      <c r="H34" s="57">
        <v>2.1218637990000001E-2</v>
      </c>
      <c r="K34" s="56">
        <v>0.21875</v>
      </c>
      <c r="L34" s="57">
        <v>1.148478609E-3</v>
      </c>
      <c r="O34" s="56">
        <v>0.21875</v>
      </c>
      <c r="P34" s="57">
        <v>9.0096208260000003E-4</v>
      </c>
      <c r="S34" s="56">
        <v>0.21875</v>
      </c>
      <c r="T34" s="57">
        <v>1.3984804999999999E-2</v>
      </c>
      <c r="W34" s="56">
        <v>0.21875</v>
      </c>
      <c r="X34" s="57">
        <v>8.7447419999999998E-3</v>
      </c>
      <c r="Y34" s="58"/>
      <c r="AA34" s="56">
        <v>0.21875</v>
      </c>
      <c r="AB34" s="57">
        <v>0.18</v>
      </c>
      <c r="AE34" s="56">
        <v>0.21875</v>
      </c>
      <c r="AF34" s="57">
        <v>0.19269439999999999</v>
      </c>
      <c r="AG34" s="58"/>
      <c r="AI34" s="56">
        <v>0.21875</v>
      </c>
      <c r="AJ34" s="57">
        <v>0</v>
      </c>
      <c r="AM34" s="56">
        <v>0.21875</v>
      </c>
      <c r="AN34" s="57">
        <v>6.8147399999999995E-4</v>
      </c>
      <c r="AO34" s="58"/>
      <c r="AQ34" s="56">
        <v>0.21875</v>
      </c>
      <c r="AR34" s="57">
        <v>7.4291299999999999E-4</v>
      </c>
      <c r="AU34" s="56">
        <v>0.21875</v>
      </c>
      <c r="AV34" s="57">
        <v>5.7868999999999998E-4</v>
      </c>
      <c r="AY34" s="56">
        <v>0.21875</v>
      </c>
      <c r="AZ34" s="57">
        <v>8.4162886000000006E-2</v>
      </c>
      <c r="BC34" s="56">
        <v>0.21875</v>
      </c>
      <c r="BD34" s="57">
        <v>6.331233E-2</v>
      </c>
    </row>
    <row r="35" spans="3:56">
      <c r="C35" s="54">
        <v>0.22916666666666666</v>
      </c>
      <c r="D35" s="55">
        <v>2.9467144559999998E-2</v>
      </c>
      <c r="G35" s="56">
        <v>0.22916666666666666</v>
      </c>
      <c r="H35" s="57">
        <v>2.5374220100000001E-2</v>
      </c>
      <c r="K35" s="56">
        <v>0.22916666666666666</v>
      </c>
      <c r="L35" s="57">
        <v>2.3747426220000001E-3</v>
      </c>
      <c r="O35" s="56">
        <v>0.22916666666666666</v>
      </c>
      <c r="P35" s="57">
        <v>1.2586304469999999E-3</v>
      </c>
      <c r="S35" s="56">
        <v>0.22916666666666666</v>
      </c>
      <c r="T35" s="57">
        <v>1.4578114E-2</v>
      </c>
      <c r="W35" s="56">
        <v>0.22916666666666666</v>
      </c>
      <c r="X35" s="57">
        <v>9.5148019999999993E-3</v>
      </c>
      <c r="Y35" s="58"/>
      <c r="AA35" s="56">
        <v>0.22916666666666666</v>
      </c>
      <c r="AB35" s="57">
        <v>0.16</v>
      </c>
      <c r="AE35" s="56">
        <v>0.22916666666666666</v>
      </c>
      <c r="AF35" s="57">
        <v>0.1777444</v>
      </c>
      <c r="AG35" s="58"/>
      <c r="AI35" s="56">
        <v>0.22916666666666666</v>
      </c>
      <c r="AJ35" s="57">
        <v>0</v>
      </c>
      <c r="AM35" s="56">
        <v>0.22916666666666666</v>
      </c>
      <c r="AN35" s="57">
        <v>6.3941099999999999E-4</v>
      </c>
      <c r="AO35" s="58"/>
      <c r="AQ35" s="56">
        <v>0.22916666666666666</v>
      </c>
      <c r="AR35" s="57">
        <v>8.1798600000000004E-4</v>
      </c>
      <c r="AU35" s="56">
        <v>0.22916666666666666</v>
      </c>
      <c r="AV35" s="57">
        <v>3.3548399999999999E-4</v>
      </c>
      <c r="AY35" s="56">
        <v>0.22916666666666666</v>
      </c>
      <c r="AZ35" s="57">
        <v>8.6086396999999995E-2</v>
      </c>
      <c r="BC35" s="56">
        <v>0.22916666666666666</v>
      </c>
      <c r="BD35" s="57">
        <v>7.3331451000000006E-2</v>
      </c>
    </row>
    <row r="36" spans="3:56">
      <c r="C36" s="54">
        <v>0.23958333333333334</v>
      </c>
      <c r="D36" s="55">
        <v>5.0231532369999998E-2</v>
      </c>
      <c r="G36" s="56">
        <v>0.23958333333333334</v>
      </c>
      <c r="H36" s="57">
        <v>3.2802867380000003E-2</v>
      </c>
      <c r="K36" s="56">
        <v>0.23958333333333334</v>
      </c>
      <c r="L36" s="57">
        <v>3.7767101349999999E-3</v>
      </c>
      <c r="O36" s="56">
        <v>0.23958333333333334</v>
      </c>
      <c r="P36" s="57">
        <v>1.7973967180000001E-3</v>
      </c>
      <c r="S36" s="56">
        <v>0.23958333333333334</v>
      </c>
      <c r="T36" s="57">
        <v>1.8406952000000001E-2</v>
      </c>
      <c r="W36" s="56">
        <v>0.23958333333333334</v>
      </c>
      <c r="X36" s="57">
        <v>9.0677280000000006E-3</v>
      </c>
      <c r="Y36" s="58"/>
      <c r="AA36" s="56">
        <v>0.23958333333333334</v>
      </c>
      <c r="AB36" s="57">
        <v>0.15</v>
      </c>
      <c r="AE36" s="56">
        <v>0.23958333333333334</v>
      </c>
      <c r="AF36" s="57">
        <v>0.1651908</v>
      </c>
      <c r="AG36" s="58"/>
      <c r="AI36" s="56">
        <v>0.23958333333333334</v>
      </c>
      <c r="AJ36" s="57">
        <v>0</v>
      </c>
      <c r="AM36" s="56">
        <v>0.23958333333333334</v>
      </c>
      <c r="AN36" s="57">
        <v>6.4738899999999995E-4</v>
      </c>
      <c r="AO36" s="58"/>
      <c r="AQ36" s="56">
        <v>0.23958333333333334</v>
      </c>
      <c r="AR36" s="57">
        <v>1.3020530000000001E-3</v>
      </c>
      <c r="AU36" s="56">
        <v>0.23958333333333334</v>
      </c>
      <c r="AV36" s="57">
        <v>8.0938400000000001E-4</v>
      </c>
      <c r="AY36" s="56">
        <v>0.23958333333333334</v>
      </c>
      <c r="AZ36" s="57">
        <v>9.0589837000000006E-2</v>
      </c>
      <c r="BC36" s="56">
        <v>0.23958333333333334</v>
      </c>
      <c r="BD36" s="57">
        <v>7.4563753999999996E-2</v>
      </c>
    </row>
    <row r="37" spans="3:56">
      <c r="C37" s="54">
        <v>0.25</v>
      </c>
      <c r="D37" s="55">
        <v>6.1893004119999998E-2</v>
      </c>
      <c r="G37" s="56">
        <v>0.25</v>
      </c>
      <c r="H37" s="57">
        <v>5.2439876420000003E-2</v>
      </c>
      <c r="K37" s="56">
        <v>0.25</v>
      </c>
      <c r="L37" s="57">
        <v>5.060626859E-3</v>
      </c>
      <c r="O37" s="56">
        <v>0.25</v>
      </c>
      <c r="P37" s="57">
        <v>3.187323147E-3</v>
      </c>
      <c r="S37" s="56">
        <v>0.25</v>
      </c>
      <c r="T37" s="57">
        <v>1.7001063E-2</v>
      </c>
      <c r="W37" s="56">
        <v>0.25</v>
      </c>
      <c r="X37" s="57">
        <v>7.188926E-3</v>
      </c>
      <c r="Y37" s="58"/>
      <c r="AA37" s="56">
        <v>0.25</v>
      </c>
      <c r="AB37" s="57">
        <v>0.14000000000000001</v>
      </c>
      <c r="AE37" s="56">
        <v>0.25</v>
      </c>
      <c r="AF37" s="57">
        <v>0.15058759999999999</v>
      </c>
      <c r="AG37" s="58"/>
      <c r="AI37" s="56">
        <v>0.25</v>
      </c>
      <c r="AJ37" s="57">
        <v>0</v>
      </c>
      <c r="AM37" s="56">
        <v>0.25</v>
      </c>
      <c r="AN37" s="57">
        <v>6.0494699999999999E-4</v>
      </c>
      <c r="AO37" s="58"/>
      <c r="AQ37" s="56">
        <v>0.25</v>
      </c>
      <c r="AR37" s="57">
        <v>1.8338219999999999E-3</v>
      </c>
      <c r="AU37" s="56">
        <v>0.25</v>
      </c>
      <c r="AV37" s="57">
        <v>1.075269E-3</v>
      </c>
      <c r="AY37" s="56">
        <v>0.25</v>
      </c>
      <c r="AZ37" s="57">
        <v>9.7239422000000006E-2</v>
      </c>
      <c r="BC37" s="56">
        <v>0.25</v>
      </c>
      <c r="BD37" s="57">
        <v>7.3841127000000006E-2</v>
      </c>
    </row>
    <row r="38" spans="3:56">
      <c r="C38" s="54">
        <v>0.26041666666666669</v>
      </c>
      <c r="D38" s="55">
        <v>7.3229788929999998E-2</v>
      </c>
      <c r="G38" s="56">
        <v>0.26041666666666669</v>
      </c>
      <c r="H38" s="57">
        <v>6.6082570029999996E-2</v>
      </c>
      <c r="K38" s="56">
        <v>0.26041666666666669</v>
      </c>
      <c r="L38" s="57">
        <v>6.8542667579999999E-3</v>
      </c>
      <c r="O38" s="56">
        <v>0.26041666666666669</v>
      </c>
      <c r="P38" s="57">
        <v>4.7266553480000001E-3</v>
      </c>
      <c r="S38" s="56">
        <v>0.26041666666666669</v>
      </c>
      <c r="T38" s="57">
        <v>2.0959785000000002E-2</v>
      </c>
      <c r="W38" s="56">
        <v>0.26041666666666669</v>
      </c>
      <c r="X38" s="57">
        <v>8.3783160000000002E-3</v>
      </c>
      <c r="Y38" s="58"/>
      <c r="AA38" s="56">
        <v>0.26041666666666669</v>
      </c>
      <c r="AB38" s="57">
        <v>0.13</v>
      </c>
      <c r="AE38" s="56">
        <v>0.26041666666666669</v>
      </c>
      <c r="AF38" s="57">
        <v>0.1388828</v>
      </c>
      <c r="AG38" s="58"/>
      <c r="AI38" s="56">
        <v>0.26041666666666669</v>
      </c>
      <c r="AJ38" s="57">
        <v>0</v>
      </c>
      <c r="AM38" s="56">
        <v>0.26041666666666669</v>
      </c>
      <c r="AN38" s="57">
        <v>6.0629499999999997E-4</v>
      </c>
      <c r="AO38" s="58"/>
      <c r="AQ38" s="56">
        <v>0.26041666666666669</v>
      </c>
      <c r="AR38" s="57">
        <v>3.3587489999999998E-3</v>
      </c>
      <c r="AU38" s="56">
        <v>0.26041666666666669</v>
      </c>
      <c r="AV38" s="57">
        <v>1.450635E-3</v>
      </c>
      <c r="AY38" s="56">
        <v>0.26041666666666669</v>
      </c>
      <c r="AZ38" s="57">
        <v>9.4693654000000002E-2</v>
      </c>
      <c r="BC38" s="56">
        <v>0.26041666666666669</v>
      </c>
      <c r="BD38" s="57">
        <v>8.0281608000000004E-2</v>
      </c>
    </row>
    <row r="39" spans="3:56">
      <c r="C39" s="54">
        <v>0.27083333333333331</v>
      </c>
      <c r="D39" s="55">
        <v>8.23470065E-2</v>
      </c>
      <c r="G39" s="56">
        <v>0.27083333333333331</v>
      </c>
      <c r="H39" s="57">
        <v>6.1813354569999999E-2</v>
      </c>
      <c r="K39" s="56">
        <v>0.27083333333333331</v>
      </c>
      <c r="L39" s="57">
        <v>9.2061313199999998E-3</v>
      </c>
      <c r="O39" s="56">
        <v>0.27083333333333331</v>
      </c>
      <c r="P39" s="57">
        <v>7.0130164119999996E-3</v>
      </c>
      <c r="S39" s="56">
        <v>0.27083333333333331</v>
      </c>
      <c r="T39" s="57">
        <v>2.4694475E-2</v>
      </c>
      <c r="W39" s="56">
        <v>0.27083333333333331</v>
      </c>
      <c r="X39" s="57">
        <v>9.4050780000000007E-3</v>
      </c>
      <c r="Y39" s="58"/>
      <c r="AA39" s="56">
        <v>0.27083333333333331</v>
      </c>
      <c r="AB39" s="57">
        <v>0.12</v>
      </c>
      <c r="AE39" s="56">
        <v>0.27083333333333331</v>
      </c>
      <c r="AF39" s="57">
        <v>0.1245492</v>
      </c>
      <c r="AG39" s="58"/>
      <c r="AI39" s="56">
        <v>0.27083333333333331</v>
      </c>
      <c r="AJ39" s="57">
        <v>0</v>
      </c>
      <c r="AM39" s="56">
        <v>0.27083333333333331</v>
      </c>
      <c r="AN39" s="57">
        <v>6.4484199999999996E-4</v>
      </c>
      <c r="AO39" s="58"/>
      <c r="AQ39" s="56">
        <v>0.27083333333333331</v>
      </c>
      <c r="AR39" s="57">
        <v>3.2422290000000001E-3</v>
      </c>
      <c r="AU39" s="56">
        <v>0.27083333333333331</v>
      </c>
      <c r="AV39" s="57">
        <v>1.9534700000000001E-3</v>
      </c>
      <c r="AY39" s="56">
        <v>0.27083333333333331</v>
      </c>
      <c r="AZ39" s="57">
        <v>9.2290788999999998E-2</v>
      </c>
      <c r="BC39" s="56">
        <v>0.27083333333333331</v>
      </c>
      <c r="BD39" s="57">
        <v>9.1762037000000005E-2</v>
      </c>
    </row>
    <row r="40" spans="3:56">
      <c r="C40" s="54">
        <v>0.28125</v>
      </c>
      <c r="D40" s="55">
        <v>9.6268365859999996E-2</v>
      </c>
      <c r="G40" s="56">
        <v>0.28125</v>
      </c>
      <c r="H40" s="57">
        <v>6.3715385639999997E-2</v>
      </c>
      <c r="K40" s="56">
        <v>0.28125</v>
      </c>
      <c r="L40" s="57">
        <v>1.2679020819999999E-2</v>
      </c>
      <c r="O40" s="56">
        <v>0.28125</v>
      </c>
      <c r="P40" s="57">
        <v>1.04991511E-2</v>
      </c>
      <c r="S40" s="56">
        <v>0.28125</v>
      </c>
      <c r="T40" s="57">
        <v>2.8646727E-2</v>
      </c>
      <c r="W40" s="56">
        <v>0.28125</v>
      </c>
      <c r="X40" s="57">
        <v>1.0581299000000001E-2</v>
      </c>
      <c r="Y40" s="58"/>
      <c r="AA40" s="56">
        <v>0.28125</v>
      </c>
      <c r="AB40" s="57">
        <v>0.1</v>
      </c>
      <c r="AE40" s="56">
        <v>0.28125</v>
      </c>
      <c r="AF40" s="57">
        <v>0.1113524</v>
      </c>
      <c r="AG40" s="58"/>
      <c r="AI40" s="56">
        <v>0.28125</v>
      </c>
      <c r="AJ40" s="57">
        <v>0</v>
      </c>
      <c r="AM40" s="56">
        <v>0.28125</v>
      </c>
      <c r="AN40" s="57">
        <v>6.2995800000000002E-4</v>
      </c>
      <c r="AO40" s="58"/>
      <c r="AQ40" s="56">
        <v>0.28125</v>
      </c>
      <c r="AR40" s="57">
        <v>3.1749759999999999E-3</v>
      </c>
      <c r="AU40" s="56">
        <v>0.28125</v>
      </c>
      <c r="AV40" s="57">
        <v>2.060606E-3</v>
      </c>
      <c r="AY40" s="56">
        <v>0.28125</v>
      </c>
      <c r="AZ40" s="57">
        <v>8.3788808000000006E-2</v>
      </c>
      <c r="BC40" s="56">
        <v>0.28125</v>
      </c>
      <c r="BD40" s="57">
        <v>0.105117499</v>
      </c>
    </row>
    <row r="41" spans="3:56">
      <c r="C41" s="54">
        <v>0.29166666666666669</v>
      </c>
      <c r="D41" s="55">
        <v>8.8196256469999998E-2</v>
      </c>
      <c r="G41" s="56">
        <v>0.29166666666666669</v>
      </c>
      <c r="H41" s="57">
        <v>6.5280764640000002E-2</v>
      </c>
      <c r="K41" s="56">
        <v>0.29166666666666669</v>
      </c>
      <c r="L41" s="57">
        <v>1.2994738049999999E-2</v>
      </c>
      <c r="O41" s="56">
        <v>0.29166666666666669</v>
      </c>
      <c r="P41" s="57">
        <v>1.2364459540000001E-2</v>
      </c>
      <c r="S41" s="56">
        <v>0.29166666666666669</v>
      </c>
      <c r="T41" s="57">
        <v>3.4176843999999998E-2</v>
      </c>
      <c r="W41" s="56">
        <v>0.29166666666666669</v>
      </c>
      <c r="X41" s="57">
        <v>1.4301530999999999E-2</v>
      </c>
      <c r="Y41" s="58"/>
      <c r="AA41" s="56">
        <v>0.29166666666666669</v>
      </c>
      <c r="AB41" s="57">
        <v>0.09</v>
      </c>
      <c r="AE41" s="56">
        <v>0.29166666666666669</v>
      </c>
      <c r="AF41" s="57">
        <v>9.9529999999999993E-2</v>
      </c>
      <c r="AG41" s="58"/>
      <c r="AI41" s="56">
        <v>0.29166666666666669</v>
      </c>
      <c r="AJ41" s="57">
        <v>0</v>
      </c>
      <c r="AM41" s="56">
        <v>0.29166666666666669</v>
      </c>
      <c r="AN41" s="57">
        <v>6.1387400000000004E-4</v>
      </c>
      <c r="AO41" s="58"/>
      <c r="AQ41" s="56">
        <v>0.29166666666666669</v>
      </c>
      <c r="AR41" s="57">
        <v>3.5151520000000001E-3</v>
      </c>
      <c r="AU41" s="56">
        <v>0.29166666666666669</v>
      </c>
      <c r="AV41" s="57">
        <v>4.7311829999999999E-3</v>
      </c>
      <c r="AY41" s="56">
        <v>0.29166666666666669</v>
      </c>
      <c r="AZ41" s="57">
        <v>8.3942857999999995E-2</v>
      </c>
      <c r="BC41" s="56">
        <v>0.29166666666666669</v>
      </c>
      <c r="BD41" s="57">
        <v>0.12015608799999999</v>
      </c>
    </row>
    <row r="42" spans="3:56">
      <c r="C42" s="54">
        <v>0.30208333333333331</v>
      </c>
      <c r="D42" s="55">
        <v>9.6509332269999998E-2</v>
      </c>
      <c r="G42" s="56">
        <v>0.30208333333333331</v>
      </c>
      <c r="H42" s="57">
        <v>7.281561131E-2</v>
      </c>
      <c r="K42" s="56">
        <v>0.30208333333333331</v>
      </c>
      <c r="L42" s="57">
        <v>1.312743079E-2</v>
      </c>
      <c r="O42" s="56">
        <v>0.30208333333333331</v>
      </c>
      <c r="P42" s="57">
        <v>1.5986417659999998E-2</v>
      </c>
      <c r="S42" s="56">
        <v>0.30208333333333331</v>
      </c>
      <c r="T42" s="57">
        <v>4.0854252000000001E-2</v>
      </c>
      <c r="W42" s="56">
        <v>0.30208333333333331</v>
      </c>
      <c r="X42" s="57">
        <v>1.9597987000000001E-2</v>
      </c>
      <c r="Y42" s="58"/>
      <c r="AA42" s="56">
        <v>0.30208333333333331</v>
      </c>
      <c r="AB42" s="57">
        <v>0.08</v>
      </c>
      <c r="AE42" s="56">
        <v>0.30208333333333331</v>
      </c>
      <c r="AF42" s="57">
        <v>9.1608800000000004E-2</v>
      </c>
      <c r="AG42" s="58"/>
      <c r="AI42" s="56">
        <v>0.30208333333333331</v>
      </c>
      <c r="AJ42" s="57">
        <v>0</v>
      </c>
      <c r="AM42" s="56">
        <v>0.30208333333333331</v>
      </c>
      <c r="AN42" s="57">
        <v>8.4311599999999998E-4</v>
      </c>
      <c r="AO42" s="58"/>
      <c r="AQ42" s="56">
        <v>0.30208333333333331</v>
      </c>
      <c r="AR42" s="57">
        <v>3.8240470000000001E-3</v>
      </c>
      <c r="AU42" s="56">
        <v>0.30208333333333331</v>
      </c>
      <c r="AV42" s="57">
        <v>6.1427169999999998E-3</v>
      </c>
      <c r="AY42" s="56">
        <v>0.30208333333333331</v>
      </c>
      <c r="AZ42" s="57">
        <v>9.0658429999999998E-2</v>
      </c>
      <c r="BC42" s="56">
        <v>0.30208333333333331</v>
      </c>
      <c r="BD42" s="57">
        <v>0.143608824</v>
      </c>
    </row>
    <row r="43" spans="3:56">
      <c r="C43" s="54">
        <v>0.3125</v>
      </c>
      <c r="D43" s="55">
        <v>0.1145070403</v>
      </c>
      <c r="G43" s="56">
        <v>0.3125</v>
      </c>
      <c r="H43" s="57">
        <v>8.0385503780000006E-2</v>
      </c>
      <c r="K43" s="56">
        <v>0.3125</v>
      </c>
      <c r="L43" s="57">
        <v>1.508558588E-2</v>
      </c>
      <c r="O43" s="56">
        <v>0.3125</v>
      </c>
      <c r="P43" s="57">
        <v>1.7386304469999999E-2</v>
      </c>
      <c r="S43" s="56">
        <v>0.3125</v>
      </c>
      <c r="T43" s="57">
        <v>4.9474048999999999E-2</v>
      </c>
      <c r="W43" s="56">
        <v>0.3125</v>
      </c>
      <c r="X43" s="57">
        <v>2.4430988000000001E-2</v>
      </c>
      <c r="Y43" s="58"/>
      <c r="AA43" s="56">
        <v>0.3125</v>
      </c>
      <c r="AB43" s="57">
        <v>7.0000000000000007E-2</v>
      </c>
      <c r="AE43" s="56">
        <v>0.3125</v>
      </c>
      <c r="AF43" s="57">
        <v>8.2407599999999998E-2</v>
      </c>
      <c r="AG43" s="58"/>
      <c r="AI43" s="56">
        <v>0.3125</v>
      </c>
      <c r="AJ43" s="57">
        <v>0</v>
      </c>
      <c r="AM43" s="56">
        <v>0.3125</v>
      </c>
      <c r="AN43" s="57">
        <v>1.120568E-3</v>
      </c>
      <c r="AO43" s="58"/>
      <c r="AQ43" s="56">
        <v>0.3125</v>
      </c>
      <c r="AR43" s="57">
        <v>6.1466280000000003E-3</v>
      </c>
      <c r="AU43" s="56">
        <v>0.3125</v>
      </c>
      <c r="AV43" s="57">
        <v>7.3798630000000004E-3</v>
      </c>
      <c r="AY43" s="56">
        <v>0.3125</v>
      </c>
      <c r="AZ43" s="57">
        <v>9.8948533000000005E-2</v>
      </c>
      <c r="BC43" s="56">
        <v>0.3125</v>
      </c>
      <c r="BD43" s="57">
        <v>0.16496050000000001</v>
      </c>
    </row>
    <row r="44" spans="3:56">
      <c r="C44" s="54">
        <v>0.32291666666666669</v>
      </c>
      <c r="D44" s="55">
        <v>0.11727067569999999</v>
      </c>
      <c r="G44" s="56">
        <v>0.32291666666666669</v>
      </c>
      <c r="H44" s="57">
        <v>7.9934156379999996E-2</v>
      </c>
      <c r="K44" s="56">
        <v>0.32291666666666669</v>
      </c>
      <c r="L44" s="57">
        <v>1.7539235869999999E-2</v>
      </c>
      <c r="O44" s="56">
        <v>0.32291666666666669</v>
      </c>
      <c r="P44" s="57">
        <v>1.7561969439999998E-2</v>
      </c>
      <c r="S44" s="56">
        <v>0.32291666666666669</v>
      </c>
      <c r="T44" s="57">
        <v>5.6459922000000003E-2</v>
      </c>
      <c r="W44" s="56">
        <v>0.32291666666666669</v>
      </c>
      <c r="X44" s="57">
        <v>3.0465569000000001E-2</v>
      </c>
      <c r="Y44" s="58"/>
      <c r="AA44" s="56">
        <v>0.32291666666666669</v>
      </c>
      <c r="AB44" s="57">
        <v>7.0000000000000007E-2</v>
      </c>
      <c r="AE44" s="56">
        <v>0.32291666666666669</v>
      </c>
      <c r="AF44" s="57">
        <v>7.6134400000000005E-2</v>
      </c>
      <c r="AG44" s="58"/>
      <c r="AI44" s="56">
        <v>0.32291666666666669</v>
      </c>
      <c r="AJ44" s="57">
        <v>0</v>
      </c>
      <c r="AM44" s="56">
        <v>0.32291666666666669</v>
      </c>
      <c r="AN44" s="57">
        <v>1.402211E-3</v>
      </c>
      <c r="AO44" s="58"/>
      <c r="AQ44" s="56">
        <v>0.32291666666666669</v>
      </c>
      <c r="AR44" s="57">
        <v>7.0068429999999996E-3</v>
      </c>
      <c r="AU44" s="56">
        <v>0.32291666666666669</v>
      </c>
      <c r="AV44" s="57">
        <v>6.2795699999999999E-3</v>
      </c>
      <c r="AY44" s="56">
        <v>0.32291666666666669</v>
      </c>
      <c r="AZ44" s="57">
        <v>0.108728196</v>
      </c>
      <c r="BC44" s="56">
        <v>0.32291666666666669</v>
      </c>
      <c r="BD44" s="57">
        <v>0.186458293</v>
      </c>
    </row>
    <row r="45" spans="3:56">
      <c r="C45" s="54">
        <v>0.33333333333333331</v>
      </c>
      <c r="D45" s="55">
        <v>0.13093083759999999</v>
      </c>
      <c r="G45" s="56">
        <v>0.33333333333333331</v>
      </c>
      <c r="H45" s="57">
        <v>8.3499269880000004E-2</v>
      </c>
      <c r="K45" s="56">
        <v>0.33333333333333331</v>
      </c>
      <c r="L45" s="57">
        <v>1.9913063370000001E-2</v>
      </c>
      <c r="O45" s="56">
        <v>0.33333333333333331</v>
      </c>
      <c r="P45" s="57">
        <v>2.0966610069999999E-2</v>
      </c>
      <c r="S45" s="56">
        <v>0.33333333333333331</v>
      </c>
      <c r="T45" s="57">
        <v>5.0512331000000001E-2</v>
      </c>
      <c r="W45" s="56">
        <v>0.33333333333333331</v>
      </c>
      <c r="X45" s="57">
        <v>2.9609532000000001E-2</v>
      </c>
      <c r="Y45" s="58"/>
      <c r="AA45" s="56">
        <v>0.33333333333333331</v>
      </c>
      <c r="AB45" s="57">
        <v>0.06</v>
      </c>
      <c r="AE45" s="56">
        <v>0.33333333333333331</v>
      </c>
      <c r="AF45" s="57">
        <v>7.0238800000000004E-2</v>
      </c>
      <c r="AG45" s="58"/>
      <c r="AI45" s="56">
        <v>0.33333333333333331</v>
      </c>
      <c r="AJ45" s="57">
        <v>0</v>
      </c>
      <c r="AM45" s="56">
        <v>0.33333333333333331</v>
      </c>
      <c r="AN45" s="57">
        <v>2.0038320000000001E-3</v>
      </c>
      <c r="AO45" s="58"/>
      <c r="AQ45" s="56">
        <v>0.33333333333333331</v>
      </c>
      <c r="AR45" s="57">
        <v>6.0801559999999998E-3</v>
      </c>
      <c r="AU45" s="56">
        <v>0.33333333333333331</v>
      </c>
      <c r="AV45" s="57">
        <v>4.5552300000000004E-3</v>
      </c>
      <c r="AY45" s="56">
        <v>0.33333333333333331</v>
      </c>
      <c r="AZ45" s="57">
        <v>0.119978653</v>
      </c>
      <c r="BC45" s="56">
        <v>0.33333333333333331</v>
      </c>
      <c r="BD45" s="57">
        <v>0.20327461399999999</v>
      </c>
    </row>
    <row r="46" spans="3:56">
      <c r="C46" s="54">
        <v>0.34375</v>
      </c>
      <c r="D46" s="55">
        <v>0.12593357420000001</v>
      </c>
      <c r="G46" s="56">
        <v>0.34375</v>
      </c>
      <c r="H46" s="57">
        <v>9.0290720830000004E-2</v>
      </c>
      <c r="K46" s="56">
        <v>0.34375</v>
      </c>
      <c r="L46" s="57">
        <v>2.5774422330000001E-2</v>
      </c>
      <c r="O46" s="56">
        <v>0.34375</v>
      </c>
      <c r="P46" s="57">
        <v>2.2030560269999999E-2</v>
      </c>
      <c r="S46" s="56">
        <v>0.34375</v>
      </c>
      <c r="T46" s="57">
        <v>5.0021472999999997E-2</v>
      </c>
      <c r="W46" s="56">
        <v>0.34375</v>
      </c>
      <c r="X46" s="57">
        <v>2.6290450999999999E-2</v>
      </c>
      <c r="Y46" s="58"/>
      <c r="AA46" s="56">
        <v>0.34375</v>
      </c>
      <c r="AB46" s="57">
        <v>0.06</v>
      </c>
      <c r="AE46" s="56">
        <v>0.34375</v>
      </c>
      <c r="AF46" s="57">
        <v>6.6366800000000004E-2</v>
      </c>
      <c r="AG46" s="58"/>
      <c r="AI46" s="56">
        <v>0.34375</v>
      </c>
      <c r="AJ46" s="57">
        <v>0</v>
      </c>
      <c r="AM46" s="56">
        <v>0.34375</v>
      </c>
      <c r="AN46" s="57">
        <v>2.2167160000000001E-3</v>
      </c>
      <c r="AO46" s="58"/>
      <c r="AQ46" s="56">
        <v>0.34375</v>
      </c>
      <c r="AR46" s="57">
        <v>7.1942910000000002E-3</v>
      </c>
      <c r="AU46" s="56">
        <v>0.34375</v>
      </c>
      <c r="AV46" s="57">
        <v>5.7908109999999999E-3</v>
      </c>
      <c r="AY46" s="56">
        <v>0.34375</v>
      </c>
      <c r="AZ46" s="57">
        <v>0.13600113699999999</v>
      </c>
      <c r="BC46" s="56">
        <v>0.34375</v>
      </c>
      <c r="BD46" s="57">
        <v>0.224155626</v>
      </c>
    </row>
    <row r="47" spans="3:56">
      <c r="C47" s="54">
        <v>0.35416666666666669</v>
      </c>
      <c r="D47" s="55">
        <v>0.123345918</v>
      </c>
      <c r="G47" s="56">
        <v>0.35416666666666669</v>
      </c>
      <c r="H47" s="57">
        <v>8.7949024289999997E-2</v>
      </c>
      <c r="K47" s="56">
        <v>0.35416666666666669</v>
      </c>
      <c r="L47" s="57">
        <v>3.1810569660000003E-2</v>
      </c>
      <c r="O47" s="56">
        <v>0.35416666666666669</v>
      </c>
      <c r="P47" s="57">
        <v>2.2074023769999999E-2</v>
      </c>
      <c r="S47" s="56">
        <v>0.35416666666666669</v>
      </c>
      <c r="T47" s="57">
        <v>4.7082027999999998E-2</v>
      </c>
      <c r="W47" s="56">
        <v>0.35416666666666669</v>
      </c>
      <c r="X47" s="57">
        <v>2.6532691000000001E-2</v>
      </c>
      <c r="Y47" s="58"/>
      <c r="AA47" s="56">
        <v>0.35416666666666669</v>
      </c>
      <c r="AB47" s="57">
        <v>0.06</v>
      </c>
      <c r="AE47" s="56">
        <v>0.35416666666666669</v>
      </c>
      <c r="AF47" s="57">
        <v>6.2578400000000006E-2</v>
      </c>
      <c r="AG47" s="58"/>
      <c r="AI47" s="56">
        <v>0.35416666666666669</v>
      </c>
      <c r="AJ47" s="57">
        <v>0.01</v>
      </c>
      <c r="AM47" s="56">
        <v>0.35416666666666669</v>
      </c>
      <c r="AN47" s="57">
        <v>2.2801470000000002E-3</v>
      </c>
      <c r="AO47" s="58"/>
      <c r="AQ47" s="56">
        <v>0.35416666666666669</v>
      </c>
      <c r="AR47" s="57">
        <v>7.028739E-3</v>
      </c>
      <c r="AU47" s="56">
        <v>0.35416666666666669</v>
      </c>
      <c r="AV47" s="57">
        <v>5.6422290000000003E-3</v>
      </c>
      <c r="AY47" s="56">
        <v>0.35416666666666669</v>
      </c>
      <c r="AZ47" s="57">
        <v>0.13658268600000001</v>
      </c>
      <c r="BC47" s="56">
        <v>0.35416666666666669</v>
      </c>
      <c r="BD47" s="57">
        <v>0.237648889</v>
      </c>
    </row>
    <row r="48" spans="3:56">
      <c r="C48" s="54">
        <v>0.36458333333333331</v>
      </c>
      <c r="D48" s="55">
        <v>0.12719004880000001</v>
      </c>
      <c r="G48" s="56">
        <v>0.36458333333333331</v>
      </c>
      <c r="H48" s="57">
        <v>8.8718969869999997E-2</v>
      </c>
      <c r="K48" s="56">
        <v>0.36458333333333331</v>
      </c>
      <c r="L48" s="57">
        <v>3.3288492340000003E-2</v>
      </c>
      <c r="O48" s="56">
        <v>0.36458333333333331</v>
      </c>
      <c r="P48" s="57">
        <v>2.2764006789999999E-2</v>
      </c>
      <c r="S48" s="56">
        <v>0.36458333333333331</v>
      </c>
      <c r="T48" s="57">
        <v>4.2765879999999999E-2</v>
      </c>
      <c r="W48" s="56">
        <v>0.36458333333333331</v>
      </c>
      <c r="X48" s="57">
        <v>2.4915395E-2</v>
      </c>
      <c r="Y48" s="58"/>
      <c r="AA48" s="56">
        <v>0.36458333333333331</v>
      </c>
      <c r="AB48" s="57">
        <v>0.05</v>
      </c>
      <c r="AE48" s="56">
        <v>0.36458333333333331</v>
      </c>
      <c r="AF48" s="57">
        <v>5.9339200000000002E-2</v>
      </c>
      <c r="AG48" s="58"/>
      <c r="AI48" s="56">
        <v>0.36458333333333331</v>
      </c>
      <c r="AJ48" s="57">
        <v>0.01</v>
      </c>
      <c r="AM48" s="56">
        <v>0.36458333333333331</v>
      </c>
      <c r="AN48" s="57">
        <v>2.421411E-3</v>
      </c>
      <c r="AO48" s="58"/>
      <c r="AQ48" s="56">
        <v>0.36458333333333331</v>
      </c>
      <c r="AR48" s="57">
        <v>6.8387099999999996E-3</v>
      </c>
      <c r="AU48" s="56">
        <v>0.36458333333333331</v>
      </c>
      <c r="AV48" s="57">
        <v>6.6392960000000003E-3</v>
      </c>
      <c r="AY48" s="56">
        <v>0.36458333333333331</v>
      </c>
      <c r="AZ48" s="57">
        <v>0.13582838</v>
      </c>
      <c r="BC48" s="56">
        <v>0.36458333333333331</v>
      </c>
      <c r="BD48" s="57">
        <v>0.242265117</v>
      </c>
    </row>
    <row r="49" spans="3:56">
      <c r="C49" s="54">
        <v>0.375</v>
      </c>
      <c r="D49" s="55">
        <v>0.12704468569999999</v>
      </c>
      <c r="G49" s="56">
        <v>0.375</v>
      </c>
      <c r="H49" s="57">
        <v>8.8012743929999998E-2</v>
      </c>
      <c r="K49" s="56">
        <v>0.375</v>
      </c>
      <c r="L49" s="57">
        <v>3.067947838E-2</v>
      </c>
      <c r="O49" s="56">
        <v>0.375</v>
      </c>
      <c r="P49" s="57">
        <v>2.8953027730000001E-2</v>
      </c>
      <c r="S49" s="56">
        <v>0.375</v>
      </c>
      <c r="T49" s="57">
        <v>4.2034464000000001E-2</v>
      </c>
      <c r="W49" s="56">
        <v>0.375</v>
      </c>
      <c r="X49" s="57">
        <v>2.5880437999999999E-2</v>
      </c>
      <c r="Y49" s="58"/>
      <c r="AA49" s="56">
        <v>0.375</v>
      </c>
      <c r="AB49" s="57">
        <v>0.05</v>
      </c>
      <c r="AE49" s="56">
        <v>0.375</v>
      </c>
      <c r="AF49" s="57">
        <v>5.5373600000000002E-2</v>
      </c>
      <c r="AG49" s="58"/>
      <c r="AI49" s="56">
        <v>0.375</v>
      </c>
      <c r="AJ49" s="57">
        <v>0.01</v>
      </c>
      <c r="AM49" s="56">
        <v>0.375</v>
      </c>
      <c r="AN49" s="57">
        <v>2.497474E-3</v>
      </c>
      <c r="AO49" s="58"/>
      <c r="AQ49" s="56">
        <v>0.375</v>
      </c>
      <c r="AR49" s="57">
        <v>7.4721409999999999E-3</v>
      </c>
      <c r="AU49" s="56">
        <v>0.375</v>
      </c>
      <c r="AV49" s="57">
        <v>7.0068429999999996E-3</v>
      </c>
      <c r="AY49" s="56">
        <v>0.375</v>
      </c>
      <c r="AZ49" s="57">
        <v>0.139860437</v>
      </c>
      <c r="BC49" s="56">
        <v>0.375</v>
      </c>
      <c r="BD49" s="57">
        <v>0.24407621500000001</v>
      </c>
    </row>
    <row r="50" spans="3:56">
      <c r="C50" s="54">
        <v>0.38541666666666669</v>
      </c>
      <c r="D50" s="55">
        <v>0.1329914244</v>
      </c>
      <c r="G50" s="56">
        <v>0.38541666666666669</v>
      </c>
      <c r="H50" s="57">
        <v>8.4009026949999996E-2</v>
      </c>
      <c r="K50" s="56">
        <v>0.38541666666666669</v>
      </c>
      <c r="L50" s="57">
        <v>3.3273850379999997E-2</v>
      </c>
      <c r="O50" s="56">
        <v>0.38541666666666669</v>
      </c>
      <c r="P50" s="57">
        <v>2.98811545E-2</v>
      </c>
      <c r="S50" s="56">
        <v>0.38541666666666669</v>
      </c>
      <c r="T50" s="57">
        <v>4.6453239E-2</v>
      </c>
      <c r="W50" s="56">
        <v>0.38541666666666669</v>
      </c>
      <c r="X50" s="57">
        <v>2.8147073000000002E-2</v>
      </c>
      <c r="Y50" s="58"/>
      <c r="AA50" s="56">
        <v>0.38541666666666669</v>
      </c>
      <c r="AB50" s="57">
        <v>0.05</v>
      </c>
      <c r="AE50" s="56">
        <v>0.38541666666666669</v>
      </c>
      <c r="AF50" s="57">
        <v>5.3677599999999999E-2</v>
      </c>
      <c r="AG50" s="58"/>
      <c r="AI50" s="56">
        <v>0.38541666666666669</v>
      </c>
      <c r="AJ50" s="57">
        <v>0.01</v>
      </c>
      <c r="AM50" s="56">
        <v>0.38541666666666669</v>
      </c>
      <c r="AN50" s="57">
        <v>2.7105470000000002E-3</v>
      </c>
      <c r="AO50" s="58"/>
      <c r="AQ50" s="56">
        <v>0.38541666666666669</v>
      </c>
      <c r="AR50" s="57">
        <v>7.4408599999999997E-3</v>
      </c>
      <c r="AU50" s="56">
        <v>0.38541666666666669</v>
      </c>
      <c r="AV50" s="57">
        <v>7.2766369999999999E-3</v>
      </c>
      <c r="AY50" s="56">
        <v>0.38541666666666669</v>
      </c>
      <c r="AZ50" s="57">
        <v>0.13575092599999999</v>
      </c>
      <c r="BC50" s="56">
        <v>0.38541666666666669</v>
      </c>
      <c r="BD50" s="57">
        <v>0.23867070500000001</v>
      </c>
    </row>
    <row r="51" spans="3:56">
      <c r="C51" s="54">
        <v>0.39583333333333331</v>
      </c>
      <c r="D51" s="55">
        <v>0.13135377670000001</v>
      </c>
      <c r="G51" s="56">
        <v>0.39583333333333331</v>
      </c>
      <c r="H51" s="57">
        <v>0.1036868646</v>
      </c>
      <c r="K51" s="56">
        <v>0.39583333333333331</v>
      </c>
      <c r="L51" s="57">
        <v>3.6315717230000003E-2</v>
      </c>
      <c r="O51" s="56">
        <v>0.39583333333333331</v>
      </c>
      <c r="P51" s="57">
        <v>3.0316694960000001E-2</v>
      </c>
      <c r="S51" s="56">
        <v>0.39583333333333331</v>
      </c>
      <c r="T51" s="57">
        <v>4.8279477000000001E-2</v>
      </c>
      <c r="W51" s="56">
        <v>0.39583333333333331</v>
      </c>
      <c r="X51" s="57">
        <v>2.9720716000000001E-2</v>
      </c>
      <c r="Y51" s="58"/>
      <c r="AA51" s="56">
        <v>0.39583333333333331</v>
      </c>
      <c r="AB51" s="57">
        <v>0.05</v>
      </c>
      <c r="AE51" s="56">
        <v>0.39583333333333331</v>
      </c>
      <c r="AF51" s="57">
        <v>5.3744399999999998E-2</v>
      </c>
      <c r="AG51" s="58"/>
      <c r="AI51" s="56">
        <v>0.39583333333333331</v>
      </c>
      <c r="AJ51" s="57">
        <v>0.01</v>
      </c>
      <c r="AM51" s="56">
        <v>0.39583333333333331</v>
      </c>
      <c r="AN51" s="57">
        <v>2.9063579999999999E-3</v>
      </c>
      <c r="AO51" s="58"/>
      <c r="AQ51" s="56">
        <v>0.39583333333333331</v>
      </c>
      <c r="AR51" s="57">
        <v>7.049853E-3</v>
      </c>
      <c r="AU51" s="56">
        <v>0.39583333333333331</v>
      </c>
      <c r="AV51" s="57">
        <v>5.8197459999999998E-3</v>
      </c>
      <c r="AY51" s="56">
        <v>0.39583333333333331</v>
      </c>
      <c r="AZ51" s="57">
        <v>0.13504544099999999</v>
      </c>
      <c r="BC51" s="56">
        <v>0.39583333333333331</v>
      </c>
      <c r="BD51" s="57">
        <v>0.227315192</v>
      </c>
    </row>
    <row r="52" spans="3:56">
      <c r="C52" s="54">
        <v>0.40625</v>
      </c>
      <c r="D52" s="55">
        <v>0.1306985265</v>
      </c>
      <c r="G52" s="56">
        <v>0.40625</v>
      </c>
      <c r="H52" s="57">
        <v>0.1007322448</v>
      </c>
      <c r="K52" s="56">
        <v>0.40625</v>
      </c>
      <c r="L52" s="57">
        <v>3.8963166319999999E-2</v>
      </c>
      <c r="O52" s="56">
        <v>0.40625</v>
      </c>
      <c r="P52" s="57">
        <v>3.6694963210000001E-2</v>
      </c>
      <c r="S52" s="56">
        <v>0.40625</v>
      </c>
      <c r="T52" s="57">
        <v>4.7982467000000001E-2</v>
      </c>
      <c r="W52" s="56">
        <v>0.40625</v>
      </c>
      <c r="X52" s="57">
        <v>3.1519574000000002E-2</v>
      </c>
      <c r="Y52" s="58"/>
      <c r="AA52" s="56">
        <v>0.40625</v>
      </c>
      <c r="AB52" s="57">
        <v>0.04</v>
      </c>
      <c r="AE52" s="56">
        <v>0.40625</v>
      </c>
      <c r="AF52" s="57">
        <v>5.3294399999999999E-2</v>
      </c>
      <c r="AG52" s="58"/>
      <c r="AI52" s="56">
        <v>0.40625</v>
      </c>
      <c r="AJ52" s="57">
        <v>0.01</v>
      </c>
      <c r="AM52" s="56">
        <v>0.40625</v>
      </c>
      <c r="AN52" s="57">
        <v>2.8122109999999998E-3</v>
      </c>
      <c r="AO52" s="58"/>
      <c r="AQ52" s="56">
        <v>0.40625</v>
      </c>
      <c r="AR52" s="57">
        <v>7.323558E-3</v>
      </c>
      <c r="AU52" s="56">
        <v>0.40625</v>
      </c>
      <c r="AV52" s="57">
        <v>5.3880739999999996E-3</v>
      </c>
      <c r="AY52" s="56">
        <v>0.40625</v>
      </c>
      <c r="AZ52" s="57">
        <v>0.14579803399999999</v>
      </c>
      <c r="BC52" s="56">
        <v>0.40625</v>
      </c>
      <c r="BD52" s="57">
        <v>0.21682467499999999</v>
      </c>
    </row>
    <row r="53" spans="3:56">
      <c r="C53" s="54">
        <v>0.41666666666666669</v>
      </c>
      <c r="D53" s="55">
        <v>0.13133678479999999</v>
      </c>
      <c r="G53" s="56">
        <v>0.41666666666666669</v>
      </c>
      <c r="H53" s="57">
        <v>8.6488782690000002E-2</v>
      </c>
      <c r="K53" s="56">
        <v>0.41666666666666669</v>
      </c>
      <c r="L53" s="57">
        <v>3.841226264E-2</v>
      </c>
      <c r="O53" s="56">
        <v>0.41666666666666669</v>
      </c>
      <c r="P53" s="57">
        <v>3.6301075269999997E-2</v>
      </c>
      <c r="S53" s="56">
        <v>0.41666666666666669</v>
      </c>
      <c r="T53" s="57">
        <v>4.8088797000000003E-2</v>
      </c>
      <c r="W53" s="56">
        <v>0.41666666666666669</v>
      </c>
      <c r="X53" s="57">
        <v>3.1736058999999997E-2</v>
      </c>
      <c r="Y53" s="58"/>
      <c r="AA53" s="56">
        <v>0.41666666666666669</v>
      </c>
      <c r="AB53" s="57">
        <v>0.04</v>
      </c>
      <c r="AE53" s="56">
        <v>0.41666666666666669</v>
      </c>
      <c r="AF53" s="57">
        <v>5.1817200000000001E-2</v>
      </c>
      <c r="AG53" s="58"/>
      <c r="AI53" s="56">
        <v>0.41666666666666669</v>
      </c>
      <c r="AJ53" s="57">
        <v>0.01</v>
      </c>
      <c r="AM53" s="56">
        <v>0.41666666666666669</v>
      </c>
      <c r="AN53" s="57">
        <v>2.988737E-3</v>
      </c>
      <c r="AO53" s="58"/>
      <c r="AQ53" s="56">
        <v>0.41666666666666669</v>
      </c>
      <c r="AR53" s="57">
        <v>7.8084069999999998E-3</v>
      </c>
      <c r="AU53" s="56">
        <v>0.41666666666666669</v>
      </c>
      <c r="AV53" s="57">
        <v>6.3343109999999996E-3</v>
      </c>
      <c r="AY53" s="56">
        <v>0.41666666666666669</v>
      </c>
      <c r="AZ53" s="57">
        <v>0.15242370299999999</v>
      </c>
      <c r="BC53" s="56">
        <v>0.41666666666666669</v>
      </c>
      <c r="BD53" s="57">
        <v>0.20463524699999999</v>
      </c>
    </row>
    <row r="54" spans="3:56">
      <c r="C54" s="54">
        <v>0.42708333333333331</v>
      </c>
      <c r="D54" s="55">
        <v>0.13691692550000001</v>
      </c>
      <c r="G54" s="56">
        <v>0.42708333333333331</v>
      </c>
      <c r="H54" s="57">
        <v>9.2276649409999995E-2</v>
      </c>
      <c r="K54" s="56">
        <v>0.42708333333333331</v>
      </c>
      <c r="L54" s="57">
        <v>4.0992907799999999E-2</v>
      </c>
      <c r="O54" s="56">
        <v>0.42708333333333331</v>
      </c>
      <c r="P54" s="57">
        <v>3.597962649E-2</v>
      </c>
      <c r="S54" s="56">
        <v>0.42708333333333331</v>
      </c>
      <c r="T54" s="57">
        <v>4.9388223000000002E-2</v>
      </c>
      <c r="W54" s="56">
        <v>0.42708333333333331</v>
      </c>
      <c r="X54" s="57">
        <v>3.0596366E-2</v>
      </c>
      <c r="Y54" s="58"/>
      <c r="AA54" s="56">
        <v>0.42708333333333331</v>
      </c>
      <c r="AB54" s="57">
        <v>0.05</v>
      </c>
      <c r="AE54" s="56">
        <v>0.42708333333333331</v>
      </c>
      <c r="AF54" s="57">
        <v>5.2840400000000003E-2</v>
      </c>
      <c r="AG54" s="58"/>
      <c r="AI54" s="56">
        <v>0.42708333333333331</v>
      </c>
      <c r="AJ54" s="57">
        <v>0.01</v>
      </c>
      <c r="AM54" s="56">
        <v>0.42708333333333331</v>
      </c>
      <c r="AN54" s="57">
        <v>3.3838319999999998E-3</v>
      </c>
      <c r="AO54" s="58"/>
      <c r="AQ54" s="56">
        <v>0.42708333333333331</v>
      </c>
      <c r="AR54" s="57">
        <v>8.0821109999999995E-3</v>
      </c>
      <c r="AU54" s="56">
        <v>0.42708333333333331</v>
      </c>
      <c r="AV54" s="57">
        <v>6.9638319999999997E-3</v>
      </c>
      <c r="AY54" s="56">
        <v>0.42708333333333331</v>
      </c>
      <c r="AZ54" s="57">
        <v>0.154085623</v>
      </c>
      <c r="BC54" s="56">
        <v>0.42708333333333331</v>
      </c>
      <c r="BD54" s="57">
        <v>0.190440737</v>
      </c>
    </row>
    <row r="55" spans="3:56">
      <c r="C55" s="54">
        <v>0.4375</v>
      </c>
      <c r="D55" s="55">
        <v>0.1311551839</v>
      </c>
      <c r="G55" s="56">
        <v>0.4375</v>
      </c>
      <c r="H55" s="57">
        <v>8.7761051369999996E-2</v>
      </c>
      <c r="K55" s="56">
        <v>0.4375</v>
      </c>
      <c r="L55" s="57">
        <v>4.8981011210000001E-2</v>
      </c>
      <c r="O55" s="56">
        <v>0.4375</v>
      </c>
      <c r="P55" s="57">
        <v>3.8790617469999997E-2</v>
      </c>
      <c r="S55" s="56">
        <v>0.4375</v>
      </c>
      <c r="T55" s="57">
        <v>4.7520545999999997E-2</v>
      </c>
      <c r="W55" s="56">
        <v>0.4375</v>
      </c>
      <c r="X55" s="57">
        <v>2.9193779E-2</v>
      </c>
      <c r="Y55" s="58"/>
      <c r="AA55" s="56">
        <v>0.4375</v>
      </c>
      <c r="AB55" s="57">
        <v>0.05</v>
      </c>
      <c r="AE55" s="56">
        <v>0.4375</v>
      </c>
      <c r="AF55" s="57">
        <v>5.4057599999999997E-2</v>
      </c>
      <c r="AG55" s="58"/>
      <c r="AI55" s="56">
        <v>0.4375</v>
      </c>
      <c r="AJ55" s="57">
        <v>0.01</v>
      </c>
      <c r="AM55" s="56">
        <v>0.4375</v>
      </c>
      <c r="AN55" s="57">
        <v>4.0030739999999997E-3</v>
      </c>
      <c r="AO55" s="58"/>
      <c r="AQ55" s="56">
        <v>0.4375</v>
      </c>
      <c r="AR55" s="57">
        <v>7.6574779999999997E-3</v>
      </c>
      <c r="AU55" s="56">
        <v>0.4375</v>
      </c>
      <c r="AV55" s="57">
        <v>5.556989E-3</v>
      </c>
      <c r="AY55" s="56">
        <v>0.4375</v>
      </c>
      <c r="AZ55" s="57">
        <v>0.14809414400000001</v>
      </c>
      <c r="BC55" s="56">
        <v>0.4375</v>
      </c>
      <c r="BD55" s="57">
        <v>0.17727267599999999</v>
      </c>
    </row>
    <row r="56" spans="3:56">
      <c r="C56" s="54">
        <v>0.44791666666666669</v>
      </c>
      <c r="D56" s="55">
        <v>0.13347033050000001</v>
      </c>
      <c r="G56" s="56">
        <v>0.44791666666666669</v>
      </c>
      <c r="H56" s="57">
        <v>8.8075401570000003E-2</v>
      </c>
      <c r="K56" s="56">
        <v>0.44791666666666669</v>
      </c>
      <c r="L56" s="57">
        <v>4.6374742619999999E-2</v>
      </c>
      <c r="O56" s="56">
        <v>0.44791666666666669</v>
      </c>
      <c r="P56" s="57">
        <v>3.8993095640000003E-2</v>
      </c>
      <c r="S56" s="56">
        <v>0.44791666666666669</v>
      </c>
      <c r="T56" s="57">
        <v>5.1353267000000001E-2</v>
      </c>
      <c r="W56" s="56">
        <v>0.44791666666666669</v>
      </c>
      <c r="X56" s="57">
        <v>2.7266272000000001E-2</v>
      </c>
      <c r="Y56" s="58"/>
      <c r="AA56" s="56">
        <v>0.44791666666666669</v>
      </c>
      <c r="AB56" s="57">
        <v>0.05</v>
      </c>
      <c r="AE56" s="56">
        <v>0.44791666666666669</v>
      </c>
      <c r="AF56" s="57">
        <v>5.7629600000000003E-2</v>
      </c>
      <c r="AG56" s="58"/>
      <c r="AI56" s="56">
        <v>0.44791666666666669</v>
      </c>
      <c r="AJ56" s="57">
        <v>0.01</v>
      </c>
      <c r="AM56" s="56">
        <v>0.44791666666666669</v>
      </c>
      <c r="AN56" s="57">
        <v>4.1357260000000002E-3</v>
      </c>
      <c r="AO56" s="58"/>
      <c r="AQ56" s="56">
        <v>0.44791666666666669</v>
      </c>
      <c r="AR56" s="57">
        <v>7.1788859999999998E-3</v>
      </c>
      <c r="AU56" s="56">
        <v>0.44791666666666669</v>
      </c>
      <c r="AV56" s="57">
        <v>6.0160309999999998E-3</v>
      </c>
      <c r="AY56" s="56">
        <v>0.44791666666666669</v>
      </c>
      <c r="AZ56" s="57">
        <v>0.150793292</v>
      </c>
      <c r="BC56" s="56">
        <v>0.44791666666666669</v>
      </c>
      <c r="BD56" s="57">
        <v>0.16278438000000001</v>
      </c>
    </row>
    <row r="57" spans="3:56">
      <c r="C57" s="54">
        <v>0.45833333333333331</v>
      </c>
      <c r="D57" s="55">
        <v>0.13001460240000001</v>
      </c>
      <c r="G57" s="56">
        <v>0.45833333333333331</v>
      </c>
      <c r="H57" s="57">
        <v>8.5049780960000002E-2</v>
      </c>
      <c r="K57" s="56">
        <v>0.45833333333333331</v>
      </c>
      <c r="L57" s="57">
        <v>4.8954472659999998E-2</v>
      </c>
      <c r="O57" s="56">
        <v>0.45833333333333331</v>
      </c>
      <c r="P57" s="57">
        <v>3.9850594230000001E-2</v>
      </c>
      <c r="S57" s="56">
        <v>0.45833333333333331</v>
      </c>
      <c r="T57" s="57">
        <v>4.9135918000000001E-2</v>
      </c>
      <c r="W57" s="56">
        <v>0.45833333333333331</v>
      </c>
      <c r="X57" s="57">
        <v>2.7362052000000001E-2</v>
      </c>
      <c r="Y57" s="58"/>
      <c r="AA57" s="56">
        <v>0.45833333333333331</v>
      </c>
      <c r="AB57" s="57">
        <v>0.05</v>
      </c>
      <c r="AE57" s="56">
        <v>0.45833333333333331</v>
      </c>
      <c r="AF57" s="57">
        <v>5.9836800000000002E-2</v>
      </c>
      <c r="AG57" s="58"/>
      <c r="AI57" s="56">
        <v>0.45833333333333331</v>
      </c>
      <c r="AJ57" s="57">
        <v>0.01</v>
      </c>
      <c r="AM57" s="56">
        <v>0.45833333333333331</v>
      </c>
      <c r="AN57" s="57">
        <v>4.3985889999999996E-3</v>
      </c>
      <c r="AO57" s="58"/>
      <c r="AQ57" s="56">
        <v>0.45833333333333331</v>
      </c>
      <c r="AR57" s="57">
        <v>8.8914960000000005E-3</v>
      </c>
      <c r="AU57" s="56">
        <v>0.45833333333333331</v>
      </c>
      <c r="AV57" s="57">
        <v>5.2825019999999997E-3</v>
      </c>
      <c r="AY57" s="56">
        <v>0.45833333333333331</v>
      </c>
      <c r="AZ57" s="57">
        <v>0.153743082</v>
      </c>
      <c r="BC57" s="56">
        <v>0.45833333333333331</v>
      </c>
      <c r="BD57" s="57">
        <v>0.148422527</v>
      </c>
    </row>
    <row r="58" spans="3:56">
      <c r="C58" s="54">
        <v>0.46875</v>
      </c>
      <c r="D58" s="55">
        <v>0.14348599500000001</v>
      </c>
      <c r="G58" s="56">
        <v>0.46875</v>
      </c>
      <c r="H58" s="57">
        <v>8.7072624739999993E-2</v>
      </c>
      <c r="K58" s="56">
        <v>0.46875</v>
      </c>
      <c r="L58" s="57">
        <v>5.2422786550000003E-2</v>
      </c>
      <c r="O58" s="56">
        <v>0.46875</v>
      </c>
      <c r="P58" s="57">
        <v>4.0706281830000003E-2</v>
      </c>
      <c r="S58" s="56">
        <v>0.46875</v>
      </c>
      <c r="T58" s="57">
        <v>4.7275893999999999E-2</v>
      </c>
      <c r="W58" s="56">
        <v>0.46875</v>
      </c>
      <c r="X58" s="57">
        <v>2.5681513E-2</v>
      </c>
      <c r="Y58" s="58"/>
      <c r="AA58" s="56">
        <v>0.46875</v>
      </c>
      <c r="AB58" s="57">
        <v>0.05</v>
      </c>
      <c r="AE58" s="56">
        <v>0.46875</v>
      </c>
      <c r="AF58" s="57">
        <v>6.5787200000000004E-2</v>
      </c>
      <c r="AG58" s="58"/>
      <c r="AI58" s="56">
        <v>0.46875</v>
      </c>
      <c r="AJ58" s="57">
        <v>0.01</v>
      </c>
      <c r="AM58" s="56">
        <v>0.46875</v>
      </c>
      <c r="AN58" s="57">
        <v>4.9761680000000004E-3</v>
      </c>
      <c r="AO58" s="58"/>
      <c r="AQ58" s="56">
        <v>0.46875</v>
      </c>
      <c r="AR58" s="57">
        <v>1.0787879E-2</v>
      </c>
      <c r="AU58" s="56">
        <v>0.46875</v>
      </c>
      <c r="AV58" s="57">
        <v>5.7947349999999996E-3</v>
      </c>
      <c r="AY58" s="56">
        <v>0.46875</v>
      </c>
      <c r="AZ58" s="57">
        <v>0.159680989</v>
      </c>
      <c r="BC58" s="56">
        <v>0.46875</v>
      </c>
      <c r="BD58" s="57">
        <v>0.14280105000000001</v>
      </c>
    </row>
    <row r="59" spans="3:56">
      <c r="C59" s="54">
        <v>0.47916666666666669</v>
      </c>
      <c r="D59" s="55">
        <v>0.1265004646</v>
      </c>
      <c r="G59" s="56">
        <v>0.47916666666666669</v>
      </c>
      <c r="H59" s="57">
        <v>7.9151961509999993E-2</v>
      </c>
      <c r="K59" s="56">
        <v>0.47916666666666669</v>
      </c>
      <c r="L59" s="57">
        <v>4.6241134750000003E-2</v>
      </c>
      <c r="O59" s="56">
        <v>0.47916666666666669</v>
      </c>
      <c r="P59" s="57">
        <v>4.447221279E-2</v>
      </c>
      <c r="S59" s="56">
        <v>0.47916666666666669</v>
      </c>
      <c r="T59" s="57">
        <v>4.7052968000000001E-2</v>
      </c>
      <c r="W59" s="56">
        <v>0.47916666666666669</v>
      </c>
      <c r="X59" s="57">
        <v>2.6185687999999999E-2</v>
      </c>
      <c r="Y59" s="58"/>
      <c r="AA59" s="56">
        <v>0.47916666666666669</v>
      </c>
      <c r="AB59" s="57">
        <v>0.06</v>
      </c>
      <c r="AE59" s="56">
        <v>0.47916666666666669</v>
      </c>
      <c r="AF59" s="57">
        <v>7.2017600000000001E-2</v>
      </c>
      <c r="AG59" s="58"/>
      <c r="AI59" s="56">
        <v>0.47916666666666669</v>
      </c>
      <c r="AJ59" s="57">
        <v>0.01</v>
      </c>
      <c r="AM59" s="56">
        <v>0.47916666666666669</v>
      </c>
      <c r="AN59" s="57">
        <v>5.5826950000000004E-3</v>
      </c>
      <c r="AO59" s="58"/>
      <c r="AQ59" s="56">
        <v>0.47916666666666669</v>
      </c>
      <c r="AR59" s="57">
        <v>1.1728641E-2</v>
      </c>
      <c r="AU59" s="56">
        <v>0.47916666666666669</v>
      </c>
      <c r="AV59" s="57">
        <v>6.6338220000000002E-3</v>
      </c>
      <c r="AY59" s="56">
        <v>0.47916666666666669</v>
      </c>
      <c r="AZ59" s="57">
        <v>0.156031423</v>
      </c>
      <c r="BC59" s="56">
        <v>0.47916666666666669</v>
      </c>
      <c r="BD59" s="57">
        <v>0.13885588500000001</v>
      </c>
    </row>
    <row r="60" spans="3:56">
      <c r="C60" s="54">
        <v>0.48958333333333331</v>
      </c>
      <c r="D60" s="55">
        <v>0.12772069559999999</v>
      </c>
      <c r="G60" s="56">
        <v>0.48958333333333331</v>
      </c>
      <c r="H60" s="57">
        <v>7.972812956E-2</v>
      </c>
      <c r="K60" s="56">
        <v>0.48958333333333331</v>
      </c>
      <c r="L60" s="57">
        <v>4.9057881489999997E-2</v>
      </c>
      <c r="O60" s="56">
        <v>0.48958333333333331</v>
      </c>
      <c r="P60" s="57">
        <v>4.2689303900000003E-2</v>
      </c>
      <c r="S60" s="56">
        <v>0.48958333333333331</v>
      </c>
      <c r="T60" s="57">
        <v>4.8152087000000003E-2</v>
      </c>
      <c r="W60" s="56">
        <v>0.48958333333333331</v>
      </c>
      <c r="X60" s="57">
        <v>2.6929252000000001E-2</v>
      </c>
      <c r="Y60" s="58"/>
      <c r="AA60" s="56">
        <v>0.48958333333333331</v>
      </c>
      <c r="AB60" s="57">
        <v>0.06</v>
      </c>
      <c r="AE60" s="56">
        <v>0.48958333333333331</v>
      </c>
      <c r="AF60" s="57">
        <v>7.7670000000000003E-2</v>
      </c>
      <c r="AG60" s="58"/>
      <c r="AI60" s="56">
        <v>0.48958333333333331</v>
      </c>
      <c r="AJ60" s="57">
        <v>0.01</v>
      </c>
      <c r="AM60" s="56">
        <v>0.48958333333333331</v>
      </c>
      <c r="AN60" s="57">
        <v>5.9627999999999999E-3</v>
      </c>
      <c r="AO60" s="58"/>
      <c r="AQ60" s="56">
        <v>0.48958333333333331</v>
      </c>
      <c r="AR60" s="57">
        <v>1.0697946999999999E-2</v>
      </c>
      <c r="AU60" s="56">
        <v>0.48958333333333331</v>
      </c>
      <c r="AV60" s="57">
        <v>6.9755620000000003E-3</v>
      </c>
      <c r="AY60" s="56">
        <v>0.48958333333333331</v>
      </c>
      <c r="AZ60" s="57">
        <v>0.15869757300000001</v>
      </c>
      <c r="BC60" s="56">
        <v>0.48958333333333331</v>
      </c>
      <c r="BD60" s="57">
        <v>0.12898043000000001</v>
      </c>
    </row>
    <row r="61" spans="3:56">
      <c r="C61" s="54">
        <v>0.5</v>
      </c>
      <c r="D61" s="55">
        <v>0.124173636</v>
      </c>
      <c r="G61" s="56">
        <v>0.5</v>
      </c>
      <c r="H61" s="57">
        <v>7.5863533780000006E-2</v>
      </c>
      <c r="K61" s="56">
        <v>0.5</v>
      </c>
      <c r="L61" s="57">
        <v>5.9336536260000003E-2</v>
      </c>
      <c r="O61" s="56">
        <v>0.5</v>
      </c>
      <c r="P61" s="57">
        <v>4.2295415959999999E-2</v>
      </c>
      <c r="S61" s="56">
        <v>0.5</v>
      </c>
      <c r="T61" s="57">
        <v>4.5553155999999997E-2</v>
      </c>
      <c r="W61" s="56">
        <v>0.5</v>
      </c>
      <c r="X61" s="57">
        <v>2.7797527999999998E-2</v>
      </c>
      <c r="Y61" s="58"/>
      <c r="AA61" s="56">
        <v>0.5</v>
      </c>
      <c r="AB61" s="57">
        <v>0.06</v>
      </c>
      <c r="AE61" s="56">
        <v>0.5</v>
      </c>
      <c r="AF61" s="57">
        <v>8.4966799999999995E-2</v>
      </c>
      <c r="AG61" s="58"/>
      <c r="AI61" s="56">
        <v>0.5</v>
      </c>
      <c r="AJ61" s="57">
        <v>0.02</v>
      </c>
      <c r="AM61" s="56">
        <v>0.5</v>
      </c>
      <c r="AN61" s="57">
        <v>7.0788209999999999E-3</v>
      </c>
      <c r="AO61" s="58"/>
      <c r="AQ61" s="56">
        <v>0.5</v>
      </c>
      <c r="AR61" s="57">
        <v>1.1440860000000001E-2</v>
      </c>
      <c r="AU61" s="56">
        <v>0.5</v>
      </c>
      <c r="AV61" s="57">
        <v>9.818182E-3</v>
      </c>
      <c r="AY61" s="56">
        <v>0.5</v>
      </c>
      <c r="AZ61" s="57">
        <v>0.15190411500000001</v>
      </c>
      <c r="BC61" s="56">
        <v>0.5</v>
      </c>
      <c r="BD61" s="57">
        <v>0.119341538</v>
      </c>
    </row>
    <row r="62" spans="3:56">
      <c r="C62" s="54">
        <v>0.51041666666666663</v>
      </c>
      <c r="D62" s="55">
        <v>0.1299538033</v>
      </c>
      <c r="G62" s="56">
        <v>0.51041666666666663</v>
      </c>
      <c r="H62" s="57">
        <v>7.3059869910000005E-2</v>
      </c>
      <c r="K62" s="56">
        <v>0.51041666666666663</v>
      </c>
      <c r="L62" s="57">
        <v>6.2109357130000001E-2</v>
      </c>
      <c r="O62" s="56">
        <v>0.51041666666666663</v>
      </c>
      <c r="P62" s="57">
        <v>4.3350311260000003E-2</v>
      </c>
      <c r="S62" s="56">
        <v>0.51041666666666663</v>
      </c>
      <c r="T62" s="57">
        <v>4.4447366000000002E-2</v>
      </c>
      <c r="W62" s="56">
        <v>0.51041666666666663</v>
      </c>
      <c r="X62" s="57">
        <v>2.4440178999999999E-2</v>
      </c>
      <c r="Y62" s="58"/>
      <c r="AA62" s="56">
        <v>0.51041666666666663</v>
      </c>
      <c r="AB62" s="57">
        <v>7.0000000000000007E-2</v>
      </c>
      <c r="AE62" s="56">
        <v>0.51041666666666663</v>
      </c>
      <c r="AF62" s="57">
        <v>9.3541600000000003E-2</v>
      </c>
      <c r="AG62" s="58"/>
      <c r="AI62" s="56">
        <v>0.51041666666666663</v>
      </c>
      <c r="AJ62" s="57">
        <v>0.02</v>
      </c>
      <c r="AM62" s="56">
        <v>0.51041666666666663</v>
      </c>
      <c r="AN62" s="57">
        <v>8.6057259999999993E-3</v>
      </c>
      <c r="AO62" s="58"/>
      <c r="AQ62" s="56">
        <v>0.51041666666666663</v>
      </c>
      <c r="AR62" s="57">
        <v>1.0663539E-2</v>
      </c>
      <c r="AU62" s="56">
        <v>0.51041666666666663</v>
      </c>
      <c r="AV62" s="57">
        <v>8.7272730000000007E-3</v>
      </c>
      <c r="AY62" s="56">
        <v>0.51041666666666663</v>
      </c>
      <c r="AZ62" s="57">
        <v>0.14714377200000001</v>
      </c>
      <c r="BC62" s="56">
        <v>0.51041666666666663</v>
      </c>
      <c r="BD62" s="57">
        <v>0.115454327</v>
      </c>
    </row>
    <row r="63" spans="3:56">
      <c r="C63" s="54">
        <v>0.52083333333333337</v>
      </c>
      <c r="D63" s="55">
        <v>0.12724492230000001</v>
      </c>
      <c r="G63" s="56">
        <v>0.52083333333333337</v>
      </c>
      <c r="H63" s="57">
        <v>7.0142572680000001E-2</v>
      </c>
      <c r="K63" s="56">
        <v>0.52083333333333337</v>
      </c>
      <c r="L63" s="57">
        <v>5.9962479979999997E-2</v>
      </c>
      <c r="O63" s="56">
        <v>0.52083333333333337</v>
      </c>
      <c r="P63" s="57">
        <v>4.6581097910000001E-2</v>
      </c>
      <c r="S63" s="56">
        <v>0.52083333333333337</v>
      </c>
      <c r="T63" s="57">
        <v>4.3326874000000001E-2</v>
      </c>
      <c r="W63" s="56">
        <v>0.52083333333333337</v>
      </c>
      <c r="X63" s="57">
        <v>2.4138908000000001E-2</v>
      </c>
      <c r="Y63" s="58"/>
      <c r="AA63" s="56">
        <v>0.52083333333333337</v>
      </c>
      <c r="AB63" s="57">
        <v>0.08</v>
      </c>
      <c r="AE63" s="56">
        <v>0.52083333333333337</v>
      </c>
      <c r="AF63" s="57">
        <v>0.10437879999999999</v>
      </c>
      <c r="AG63" s="58"/>
      <c r="AI63" s="56">
        <v>0.52083333333333337</v>
      </c>
      <c r="AJ63" s="57">
        <v>0.02</v>
      </c>
      <c r="AM63" s="56">
        <v>0.52083333333333337</v>
      </c>
      <c r="AN63" s="57">
        <v>9.4557259999999994E-3</v>
      </c>
      <c r="AO63" s="58"/>
      <c r="AQ63" s="56">
        <v>0.52083333333333337</v>
      </c>
      <c r="AR63" s="57">
        <v>1.3106549E-2</v>
      </c>
      <c r="AU63" s="56">
        <v>0.52083333333333337</v>
      </c>
      <c r="AV63" s="57">
        <v>8.5607040000000006E-3</v>
      </c>
      <c r="AY63" s="56">
        <v>0.52083333333333337</v>
      </c>
      <c r="AZ63" s="57">
        <v>0.12270582300000001</v>
      </c>
      <c r="BC63" s="56">
        <v>0.52083333333333337</v>
      </c>
      <c r="BD63" s="57">
        <v>0.112743096</v>
      </c>
    </row>
    <row r="64" spans="3:56">
      <c r="C64" s="54">
        <v>0.53125</v>
      </c>
      <c r="D64" s="55">
        <v>0.1150065047</v>
      </c>
      <c r="G64" s="56">
        <v>0.53125</v>
      </c>
      <c r="H64" s="57">
        <v>6.7274127170000003E-2</v>
      </c>
      <c r="K64" s="56">
        <v>0.53125</v>
      </c>
      <c r="L64" s="57">
        <v>5.6690002289999999E-2</v>
      </c>
      <c r="O64" s="56">
        <v>0.53125</v>
      </c>
      <c r="P64" s="57">
        <v>4.726112054E-2</v>
      </c>
      <c r="S64" s="56">
        <v>0.53125</v>
      </c>
      <c r="T64" s="57">
        <v>4.4574840999999997E-2</v>
      </c>
      <c r="W64" s="56">
        <v>0.53125</v>
      </c>
      <c r="X64" s="57">
        <v>2.2777250999999998E-2</v>
      </c>
      <c r="Y64" s="58"/>
      <c r="AA64" s="56">
        <v>0.53125</v>
      </c>
      <c r="AB64" s="57">
        <v>0.09</v>
      </c>
      <c r="AE64" s="56">
        <v>0.53125</v>
      </c>
      <c r="AF64" s="57">
        <v>0.1105708</v>
      </c>
      <c r="AG64" s="58"/>
      <c r="AI64" s="56">
        <v>0.53125</v>
      </c>
      <c r="AJ64" s="57">
        <v>0.02</v>
      </c>
      <c r="AM64" s="56">
        <v>0.53125</v>
      </c>
      <c r="AN64" s="57">
        <v>9.6114740000000001E-3</v>
      </c>
      <c r="AO64" s="58"/>
      <c r="AQ64" s="56">
        <v>0.53125</v>
      </c>
      <c r="AR64" s="57">
        <v>1.2168132999999999E-2</v>
      </c>
      <c r="AU64" s="56">
        <v>0.53125</v>
      </c>
      <c r="AV64" s="57">
        <v>6.6979470000000001E-3</v>
      </c>
      <c r="AY64" s="56">
        <v>0.53125</v>
      </c>
      <c r="AZ64" s="57">
        <v>0.117611327</v>
      </c>
      <c r="BC64" s="56">
        <v>0.53125</v>
      </c>
      <c r="BD64" s="57">
        <v>0.10576281999999999</v>
      </c>
    </row>
    <row r="65" spans="3:56">
      <c r="C65" s="54">
        <v>0.54166666666666663</v>
      </c>
      <c r="D65" s="55">
        <v>0.1011761582</v>
      </c>
      <c r="G65" s="56">
        <v>0.54166666666666663</v>
      </c>
      <c r="H65" s="57">
        <v>7.4838709680000004E-2</v>
      </c>
      <c r="K65" s="56">
        <v>0.54166666666666663</v>
      </c>
      <c r="L65" s="57">
        <v>5.5030885379999998E-2</v>
      </c>
      <c r="O65" s="56">
        <v>0.54166666666666663</v>
      </c>
      <c r="P65" s="57">
        <v>4.2449349179999998E-2</v>
      </c>
      <c r="S65" s="56">
        <v>0.54166666666666663</v>
      </c>
      <c r="T65" s="57">
        <v>4.4649672000000001E-2</v>
      </c>
      <c r="W65" s="56">
        <v>0.54166666666666663</v>
      </c>
      <c r="X65" s="57">
        <v>2.1482857000000001E-2</v>
      </c>
      <c r="Y65" s="58"/>
      <c r="AA65" s="56">
        <v>0.54166666666666663</v>
      </c>
      <c r="AB65" s="57">
        <v>0.09</v>
      </c>
      <c r="AE65" s="56">
        <v>0.54166666666666663</v>
      </c>
      <c r="AF65" s="57">
        <v>0.116588</v>
      </c>
      <c r="AG65" s="58"/>
      <c r="AI65" s="56">
        <v>0.54166666666666663</v>
      </c>
      <c r="AJ65" s="57">
        <v>0.02</v>
      </c>
      <c r="AM65" s="56">
        <v>0.54166666666666663</v>
      </c>
      <c r="AN65" s="57">
        <v>1.0090674000000001E-2</v>
      </c>
      <c r="AO65" s="58"/>
      <c r="AQ65" s="56">
        <v>0.54166666666666663</v>
      </c>
      <c r="AR65" s="57">
        <v>1.0963832E-2</v>
      </c>
      <c r="AU65" s="56">
        <v>0.54166666666666663</v>
      </c>
      <c r="AV65" s="57">
        <v>5.607038E-3</v>
      </c>
      <c r="AY65" s="56">
        <v>0.54166666666666663</v>
      </c>
      <c r="AZ65" s="57">
        <v>0.11191807199999999</v>
      </c>
      <c r="BC65" s="56">
        <v>0.54166666666666663</v>
      </c>
      <c r="BD65" s="57">
        <v>0.10078814</v>
      </c>
    </row>
    <row r="66" spans="3:56">
      <c r="C66" s="54">
        <v>0.55208333333333337</v>
      </c>
      <c r="D66" s="55">
        <v>0.11327757870000001</v>
      </c>
      <c r="G66" s="56">
        <v>0.55208333333333337</v>
      </c>
      <c r="H66" s="57">
        <v>6.0931899640000002E-2</v>
      </c>
      <c r="K66" s="56">
        <v>0.55208333333333337</v>
      </c>
      <c r="L66" s="57">
        <v>5.0327156259999999E-2</v>
      </c>
      <c r="O66" s="56">
        <v>0.55208333333333337</v>
      </c>
      <c r="P66" s="57">
        <v>3.5277872100000003E-2</v>
      </c>
      <c r="S66" s="56">
        <v>0.55208333333333337</v>
      </c>
      <c r="T66" s="57">
        <v>4.5401231E-2</v>
      </c>
      <c r="W66" s="56">
        <v>0.55208333333333337</v>
      </c>
      <c r="X66" s="57">
        <v>2.0715850000000001E-2</v>
      </c>
      <c r="Y66" s="58"/>
      <c r="AA66" s="56">
        <v>0.55208333333333337</v>
      </c>
      <c r="AB66" s="57">
        <v>0.1</v>
      </c>
      <c r="AE66" s="56">
        <v>0.55208333333333337</v>
      </c>
      <c r="AF66" s="57">
        <v>0.123976</v>
      </c>
      <c r="AG66" s="58"/>
      <c r="AI66" s="56">
        <v>0.55208333333333337</v>
      </c>
      <c r="AJ66" s="57">
        <v>0.02</v>
      </c>
      <c r="AM66" s="56">
        <v>0.55208333333333337</v>
      </c>
      <c r="AN66" s="57">
        <v>1.0482610999999999E-2</v>
      </c>
      <c r="AO66" s="58"/>
      <c r="AQ66" s="56">
        <v>0.55208333333333337</v>
      </c>
      <c r="AR66" s="57">
        <v>9.0830890000000008E-3</v>
      </c>
      <c r="AU66" s="56">
        <v>0.55208333333333337</v>
      </c>
      <c r="AV66" s="57">
        <v>5.11437E-3</v>
      </c>
      <c r="AY66" s="56">
        <v>0.55208333333333337</v>
      </c>
      <c r="AZ66" s="57">
        <v>0.13070182299999999</v>
      </c>
      <c r="BC66" s="56">
        <v>0.55208333333333337</v>
      </c>
      <c r="BD66" s="57">
        <v>9.6928827999999995E-2</v>
      </c>
    </row>
    <row r="67" spans="3:56">
      <c r="C67" s="54">
        <v>0.5625</v>
      </c>
      <c r="D67" s="55">
        <v>0.1055165273</v>
      </c>
      <c r="G67" s="56">
        <v>0.5625</v>
      </c>
      <c r="H67" s="57">
        <v>5.7235098900000003E-2</v>
      </c>
      <c r="K67" s="56">
        <v>0.5625</v>
      </c>
      <c r="L67" s="57">
        <v>4.7651338369999997E-2</v>
      </c>
      <c r="O67" s="56">
        <v>0.5625</v>
      </c>
      <c r="P67" s="57">
        <v>3.301324278E-2</v>
      </c>
      <c r="S67" s="56">
        <v>0.5625</v>
      </c>
      <c r="T67" s="57">
        <v>4.3779244000000002E-2</v>
      </c>
      <c r="W67" s="56">
        <v>0.5625</v>
      </c>
      <c r="X67" s="57">
        <v>1.9904165000000001E-2</v>
      </c>
      <c r="Y67" s="58"/>
      <c r="AA67" s="56">
        <v>0.5625</v>
      </c>
      <c r="AB67" s="57">
        <v>0.1</v>
      </c>
      <c r="AE67" s="56">
        <v>0.5625</v>
      </c>
      <c r="AF67" s="57">
        <v>0.13086639999999999</v>
      </c>
      <c r="AG67" s="58"/>
      <c r="AI67" s="56">
        <v>0.5625</v>
      </c>
      <c r="AJ67" s="57">
        <v>0.03</v>
      </c>
      <c r="AM67" s="56">
        <v>0.5625</v>
      </c>
      <c r="AN67" s="57">
        <v>1.1309389E-2</v>
      </c>
      <c r="AO67" s="58"/>
      <c r="AQ67" s="56">
        <v>0.5625</v>
      </c>
      <c r="AR67" s="57">
        <v>8.6545449999999996E-3</v>
      </c>
      <c r="AU67" s="56">
        <v>0.5625</v>
      </c>
      <c r="AV67" s="57">
        <v>5.7126099999999999E-3</v>
      </c>
      <c r="AY67" s="56">
        <v>0.5625</v>
      </c>
      <c r="AZ67" s="57">
        <v>0.147738921</v>
      </c>
      <c r="BC67" s="56">
        <v>0.5625</v>
      </c>
      <c r="BD67" s="57">
        <v>9.3169575000000004E-2</v>
      </c>
    </row>
    <row r="68" spans="3:56">
      <c r="C68" s="54">
        <v>0.57291666666666663</v>
      </c>
      <c r="D68" s="55">
        <v>9.7440063719999997E-2</v>
      </c>
      <c r="G68" s="56">
        <v>0.57291666666666663</v>
      </c>
      <c r="H68" s="57">
        <v>6.1679543339999997E-2</v>
      </c>
      <c r="K68" s="56">
        <v>0.57291666666666663</v>
      </c>
      <c r="L68" s="57">
        <v>4.9100663459999999E-2</v>
      </c>
      <c r="O68" s="56">
        <v>0.57291666666666663</v>
      </c>
      <c r="P68" s="57">
        <v>3.5783135260000001E-2</v>
      </c>
      <c r="S68" s="56">
        <v>0.57291666666666663</v>
      </c>
      <c r="T68" s="57">
        <v>4.4244064999999999E-2</v>
      </c>
      <c r="W68" s="56">
        <v>0.57291666666666663</v>
      </c>
      <c r="X68" s="57">
        <v>1.9959629E-2</v>
      </c>
      <c r="Y68" s="58"/>
      <c r="AA68" s="56">
        <v>0.57291666666666663</v>
      </c>
      <c r="AB68" s="57">
        <v>0.1</v>
      </c>
      <c r="AE68" s="56">
        <v>0.57291666666666663</v>
      </c>
      <c r="AF68" s="57">
        <v>0.134718</v>
      </c>
      <c r="AG68" s="58"/>
      <c r="AI68" s="56">
        <v>0.57291666666666663</v>
      </c>
      <c r="AJ68" s="57">
        <v>0.03</v>
      </c>
      <c r="AM68" s="56">
        <v>0.57291666666666663</v>
      </c>
      <c r="AN68" s="57">
        <v>1.1360568E-2</v>
      </c>
      <c r="AO68" s="58"/>
      <c r="AQ68" s="56">
        <v>0.57291666666666663</v>
      </c>
      <c r="AR68" s="57">
        <v>9.7438909999999993E-3</v>
      </c>
      <c r="AU68" s="56">
        <v>0.57291666666666663</v>
      </c>
      <c r="AV68" s="57">
        <v>4.8954059999999997E-3</v>
      </c>
      <c r="AY68" s="56">
        <v>0.57291666666666663</v>
      </c>
      <c r="AZ68" s="57">
        <v>0.14511833299999999</v>
      </c>
      <c r="BC68" s="56">
        <v>0.57291666666666663</v>
      </c>
      <c r="BD68" s="57">
        <v>8.7489361000000002E-2</v>
      </c>
    </row>
    <row r="69" spans="3:56">
      <c r="C69" s="54">
        <v>0.58333333333333337</v>
      </c>
      <c r="D69" s="55">
        <v>9.6471525289999999E-2</v>
      </c>
      <c r="G69" s="56">
        <v>0.58333333333333337</v>
      </c>
      <c r="H69" s="57">
        <v>5.846807381E-2</v>
      </c>
      <c r="K69" s="56">
        <v>0.58333333333333337</v>
      </c>
      <c r="L69" s="57">
        <v>4.7732784260000001E-2</v>
      </c>
      <c r="O69" s="56">
        <v>0.58333333333333337</v>
      </c>
      <c r="P69" s="57">
        <v>3.4938313530000001E-2</v>
      </c>
      <c r="S69" s="56">
        <v>0.58333333333333337</v>
      </c>
      <c r="T69" s="57">
        <v>4.4886958999999997E-2</v>
      </c>
      <c r="W69" s="56">
        <v>0.58333333333333337</v>
      </c>
      <c r="X69" s="57">
        <v>1.7124312999999999E-2</v>
      </c>
      <c r="Y69" s="58"/>
      <c r="AA69" s="56">
        <v>0.58333333333333337</v>
      </c>
      <c r="AB69" s="57">
        <v>0.11</v>
      </c>
      <c r="AE69" s="56">
        <v>0.58333333333333337</v>
      </c>
      <c r="AF69" s="57">
        <v>0.14074600000000001</v>
      </c>
      <c r="AG69" s="58"/>
      <c r="AI69" s="56">
        <v>0.58333333333333337</v>
      </c>
      <c r="AJ69" s="57">
        <v>0.03</v>
      </c>
      <c r="AM69" s="56">
        <v>0.58333333333333337</v>
      </c>
      <c r="AN69" s="57">
        <v>1.2354484000000001E-2</v>
      </c>
      <c r="AO69" s="58"/>
      <c r="AQ69" s="56">
        <v>0.58333333333333337</v>
      </c>
      <c r="AR69" s="57">
        <v>9.2003910000000005E-3</v>
      </c>
      <c r="AU69" s="56">
        <v>0.58333333333333337</v>
      </c>
      <c r="AV69" s="57">
        <v>5.3216030000000003E-3</v>
      </c>
      <c r="AY69" s="56">
        <v>0.58333333333333337</v>
      </c>
      <c r="AZ69" s="57">
        <v>0.13859300499999999</v>
      </c>
      <c r="BC69" s="56">
        <v>0.58333333333333337</v>
      </c>
      <c r="BD69" s="57">
        <v>8.6231636E-2</v>
      </c>
    </row>
    <row r="70" spans="3:56">
      <c r="C70" s="54">
        <v>0.59375</v>
      </c>
      <c r="D70" s="55">
        <v>9.8053896190000003E-2</v>
      </c>
      <c r="G70" s="56">
        <v>0.59375</v>
      </c>
      <c r="H70" s="57">
        <v>6.4415239609999994E-2</v>
      </c>
      <c r="K70" s="56">
        <v>0.59375</v>
      </c>
      <c r="L70" s="57">
        <v>4.8359643100000002E-2</v>
      </c>
      <c r="O70" s="56">
        <v>0.59375</v>
      </c>
      <c r="P70" s="57">
        <v>3.398302207E-2</v>
      </c>
      <c r="S70" s="56">
        <v>0.59375</v>
      </c>
      <c r="T70" s="57">
        <v>4.2998535999999997E-2</v>
      </c>
      <c r="W70" s="56">
        <v>0.59375</v>
      </c>
      <c r="X70" s="57">
        <v>1.7040275000000001E-2</v>
      </c>
      <c r="Y70" s="58"/>
      <c r="AA70" s="56">
        <v>0.59375</v>
      </c>
      <c r="AB70" s="57">
        <v>0.12</v>
      </c>
      <c r="AE70" s="56">
        <v>0.59375</v>
      </c>
      <c r="AF70" s="57">
        <v>0.15158160000000001</v>
      </c>
      <c r="AG70" s="58"/>
      <c r="AI70" s="56">
        <v>0.59375</v>
      </c>
      <c r="AJ70" s="57">
        <v>0.03</v>
      </c>
      <c r="AM70" s="56">
        <v>0.59375</v>
      </c>
      <c r="AN70" s="57">
        <v>1.3292020999999999E-2</v>
      </c>
      <c r="AO70" s="58"/>
      <c r="AQ70" s="56">
        <v>0.59375</v>
      </c>
      <c r="AR70" s="57">
        <v>9.3685239999999996E-3</v>
      </c>
      <c r="AU70" s="56">
        <v>0.59375</v>
      </c>
      <c r="AV70" s="57">
        <v>5.7360700000000002E-3</v>
      </c>
      <c r="AY70" s="56">
        <v>0.59375</v>
      </c>
      <c r="AZ70" s="57">
        <v>0.14065248599999999</v>
      </c>
      <c r="BC70" s="56">
        <v>0.59375</v>
      </c>
      <c r="BD70" s="57">
        <v>9.4031440999999993E-2</v>
      </c>
    </row>
    <row r="71" spans="3:56">
      <c r="C71" s="54">
        <v>0.60416666666666663</v>
      </c>
      <c r="D71" s="55">
        <v>9.733174034E-2</v>
      </c>
      <c r="G71" s="56">
        <v>0.60416666666666663</v>
      </c>
      <c r="H71" s="57">
        <v>6.057613169E-2</v>
      </c>
      <c r="K71" s="56">
        <v>0.60416666666666663</v>
      </c>
      <c r="L71" s="57">
        <v>4.7052802560000002E-2</v>
      </c>
      <c r="O71" s="56">
        <v>0.60416666666666663</v>
      </c>
      <c r="P71" s="57">
        <v>3.3502207130000003E-2</v>
      </c>
      <c r="S71" s="56">
        <v>0.60416666666666663</v>
      </c>
      <c r="T71" s="57">
        <v>4.2846209000000003E-2</v>
      </c>
      <c r="W71" s="56">
        <v>0.60416666666666663</v>
      </c>
      <c r="X71" s="57">
        <v>1.6860382E-2</v>
      </c>
      <c r="Y71" s="58"/>
      <c r="AA71" s="56">
        <v>0.60416666666666663</v>
      </c>
      <c r="AB71" s="57">
        <v>0.12</v>
      </c>
      <c r="AE71" s="56">
        <v>0.60416666666666663</v>
      </c>
      <c r="AF71" s="57">
        <v>0.16390640000000001</v>
      </c>
      <c r="AG71" s="58"/>
      <c r="AI71" s="56">
        <v>0.60416666666666663</v>
      </c>
      <c r="AJ71" s="57">
        <v>0.03</v>
      </c>
      <c r="AM71" s="56">
        <v>0.60416666666666663</v>
      </c>
      <c r="AN71" s="57">
        <v>1.4782442E-2</v>
      </c>
      <c r="AO71" s="58"/>
      <c r="AQ71" s="56">
        <v>0.60416666666666663</v>
      </c>
      <c r="AR71" s="57">
        <v>1.0168524E-2</v>
      </c>
      <c r="AU71" s="56">
        <v>0.60416666666666663</v>
      </c>
      <c r="AV71" s="57">
        <v>4.5458460000000001E-3</v>
      </c>
      <c r="AY71" s="56">
        <v>0.60416666666666663</v>
      </c>
      <c r="AZ71" s="57">
        <v>0.13043979999999999</v>
      </c>
      <c r="BC71" s="56">
        <v>0.60416666666666663</v>
      </c>
      <c r="BD71" s="57">
        <v>9.9137017999999993E-2</v>
      </c>
    </row>
    <row r="72" spans="3:56">
      <c r="C72" s="54">
        <v>0.61458333333333337</v>
      </c>
      <c r="D72" s="55">
        <v>8.6326191420000004E-2</v>
      </c>
      <c r="G72" s="56">
        <v>0.61458333333333337</v>
      </c>
      <c r="H72" s="57">
        <v>5.9627771140000001E-2</v>
      </c>
      <c r="K72" s="56">
        <v>0.61458333333333337</v>
      </c>
      <c r="L72" s="57">
        <v>4.8342255780000003E-2</v>
      </c>
      <c r="O72" s="56">
        <v>0.61458333333333337</v>
      </c>
      <c r="P72" s="57">
        <v>3.5316808149999997E-2</v>
      </c>
      <c r="S72" s="56">
        <v>0.61458333333333337</v>
      </c>
      <c r="T72" s="57">
        <v>4.1204047000000001E-2</v>
      </c>
      <c r="W72" s="56">
        <v>0.61458333333333337</v>
      </c>
      <c r="X72" s="57">
        <v>1.8901258000000001E-2</v>
      </c>
      <c r="Y72" s="58"/>
      <c r="AA72" s="56">
        <v>0.61458333333333337</v>
      </c>
      <c r="AB72" s="57">
        <v>0.13</v>
      </c>
      <c r="AE72" s="56">
        <v>0.61458333333333337</v>
      </c>
      <c r="AF72" s="57">
        <v>0.1727824</v>
      </c>
      <c r="AG72" s="58"/>
      <c r="AI72" s="56">
        <v>0.61458333333333337</v>
      </c>
      <c r="AJ72" s="57">
        <v>0.04</v>
      </c>
      <c r="AM72" s="56">
        <v>0.61458333333333337</v>
      </c>
      <c r="AN72" s="57">
        <v>1.6524442E-2</v>
      </c>
      <c r="AO72" s="58"/>
      <c r="AQ72" s="56">
        <v>0.61458333333333337</v>
      </c>
      <c r="AR72" s="57">
        <v>1.0313587000000001E-2</v>
      </c>
      <c r="AU72" s="56">
        <v>0.61458333333333337</v>
      </c>
      <c r="AV72" s="57">
        <v>5.0439880000000001E-3</v>
      </c>
      <c r="AY72" s="56">
        <v>0.61458333333333337</v>
      </c>
      <c r="AZ72" s="57">
        <v>0.13029131699999999</v>
      </c>
      <c r="BC72" s="56">
        <v>0.61458333333333337</v>
      </c>
      <c r="BD72" s="57">
        <v>0.101507815</v>
      </c>
    </row>
    <row r="73" spans="3:56">
      <c r="C73" s="54">
        <v>0.625</v>
      </c>
      <c r="D73" s="55">
        <v>8.9677968050000001E-2</v>
      </c>
      <c r="G73" s="56">
        <v>0.625</v>
      </c>
      <c r="H73" s="57">
        <v>5.7039692019999998E-2</v>
      </c>
      <c r="K73" s="56">
        <v>0.625</v>
      </c>
      <c r="L73" s="57">
        <v>5.5227636699999999E-2</v>
      </c>
      <c r="O73" s="56">
        <v>0.625</v>
      </c>
      <c r="P73" s="57">
        <v>3.5146576120000002E-2</v>
      </c>
      <c r="S73" s="56">
        <v>0.625</v>
      </c>
      <c r="T73" s="57">
        <v>4.0426973999999997E-2</v>
      </c>
      <c r="W73" s="56">
        <v>0.625</v>
      </c>
      <c r="X73" s="57">
        <v>2.1773859999999999E-2</v>
      </c>
      <c r="Y73" s="58"/>
      <c r="AA73" s="56">
        <v>0.625</v>
      </c>
      <c r="AB73" s="57">
        <v>0.14000000000000001</v>
      </c>
      <c r="AE73" s="56">
        <v>0.625</v>
      </c>
      <c r="AF73" s="57">
        <v>0.18939039999999999</v>
      </c>
      <c r="AG73" s="58"/>
      <c r="AI73" s="56">
        <v>0.625</v>
      </c>
      <c r="AJ73" s="57">
        <v>0.04</v>
      </c>
      <c r="AM73" s="56">
        <v>0.625</v>
      </c>
      <c r="AN73" s="57">
        <v>1.9826462999999999E-2</v>
      </c>
      <c r="AO73" s="58"/>
      <c r="AQ73" s="56">
        <v>0.625</v>
      </c>
      <c r="AR73" s="57">
        <v>1.0748778E-2</v>
      </c>
      <c r="AU73" s="56">
        <v>0.625</v>
      </c>
      <c r="AV73" s="57">
        <v>5.5992180000000004E-3</v>
      </c>
      <c r="AY73" s="56">
        <v>0.625</v>
      </c>
      <c r="AZ73" s="57">
        <v>0.122079507</v>
      </c>
      <c r="BC73" s="56">
        <v>0.625</v>
      </c>
      <c r="BD73" s="57">
        <v>0.10230665799999999</v>
      </c>
    </row>
    <row r="74" spans="3:56">
      <c r="C74" s="54">
        <v>0.63541666666666663</v>
      </c>
      <c r="D74" s="55">
        <v>9.0041152260000007E-2</v>
      </c>
      <c r="G74" s="56">
        <v>0.63541666666666663</v>
      </c>
      <c r="H74" s="57">
        <v>5.8563653260000001E-2</v>
      </c>
      <c r="K74" s="56">
        <v>0.63541666666666663</v>
      </c>
      <c r="L74" s="57">
        <v>5.5474719739999998E-2</v>
      </c>
      <c r="O74" s="56">
        <v>0.63541666666666663</v>
      </c>
      <c r="P74" s="57">
        <v>3.6427843799999998E-2</v>
      </c>
      <c r="S74" s="56">
        <v>0.63541666666666663</v>
      </c>
      <c r="T74" s="57">
        <v>3.9869104000000002E-2</v>
      </c>
      <c r="W74" s="56">
        <v>0.63541666666666663</v>
      </c>
      <c r="X74" s="57">
        <v>2.1381655999999999E-2</v>
      </c>
      <c r="Y74" s="58"/>
      <c r="AA74" s="56">
        <v>0.63541666666666663</v>
      </c>
      <c r="AB74" s="57">
        <v>0.16</v>
      </c>
      <c r="AE74" s="56">
        <v>0.63541666666666663</v>
      </c>
      <c r="AF74" s="57">
        <v>0.2099212</v>
      </c>
      <c r="AG74" s="58"/>
      <c r="AI74" s="56">
        <v>0.63541666666666663</v>
      </c>
      <c r="AJ74" s="57">
        <v>0.05</v>
      </c>
      <c r="AM74" s="56">
        <v>0.63541666666666663</v>
      </c>
      <c r="AN74" s="57">
        <v>2.2833704999999999E-2</v>
      </c>
      <c r="AO74" s="58"/>
      <c r="AQ74" s="56">
        <v>0.63541666666666663</v>
      </c>
      <c r="AR74" s="57">
        <v>1.0588465E-2</v>
      </c>
      <c r="AU74" s="56">
        <v>0.63541666666666663</v>
      </c>
      <c r="AV74" s="57">
        <v>5.6656889999999998E-3</v>
      </c>
      <c r="AY74" s="56">
        <v>0.63541666666666663</v>
      </c>
      <c r="AZ74" s="57">
        <v>0.122452719</v>
      </c>
      <c r="BC74" s="56">
        <v>0.63541666666666663</v>
      </c>
      <c r="BD74" s="57">
        <v>9.7417548000000007E-2</v>
      </c>
    </row>
    <row r="75" spans="3:56">
      <c r="C75" s="54">
        <v>0.64583333333333337</v>
      </c>
      <c r="D75" s="55">
        <v>8.9750165940000001E-2</v>
      </c>
      <c r="G75" s="56">
        <v>0.64583333333333337</v>
      </c>
      <c r="H75" s="57">
        <v>5.4227532189999997E-2</v>
      </c>
      <c r="K75" s="56">
        <v>0.64583333333333337</v>
      </c>
      <c r="L75" s="57">
        <v>4.9240905969999998E-2</v>
      </c>
      <c r="O75" s="56">
        <v>0.64583333333333337</v>
      </c>
      <c r="P75" s="57">
        <v>3.853763441E-2</v>
      </c>
      <c r="S75" s="56">
        <v>0.64583333333333337</v>
      </c>
      <c r="T75" s="57">
        <v>3.8952087000000003E-2</v>
      </c>
      <c r="W75" s="56">
        <v>0.64583333333333337</v>
      </c>
      <c r="X75" s="57">
        <v>1.9693288E-2</v>
      </c>
      <c r="Y75" s="58"/>
      <c r="AA75" s="56">
        <v>0.64583333333333337</v>
      </c>
      <c r="AB75" s="57">
        <v>0.18</v>
      </c>
      <c r="AE75" s="56">
        <v>0.64583333333333337</v>
      </c>
      <c r="AF75" s="57">
        <v>0.2352312</v>
      </c>
      <c r="AG75" s="58"/>
      <c r="AI75" s="56">
        <v>0.64583333333333337</v>
      </c>
      <c r="AJ75" s="57">
        <v>0.06</v>
      </c>
      <c r="AM75" s="56">
        <v>0.64583333333333337</v>
      </c>
      <c r="AN75" s="57">
        <v>2.6040483999999999E-2</v>
      </c>
      <c r="AO75" s="58"/>
      <c r="AQ75" s="56">
        <v>0.64583333333333337</v>
      </c>
      <c r="AR75" s="57">
        <v>1.1357615E-2</v>
      </c>
      <c r="AU75" s="56">
        <v>0.64583333333333337</v>
      </c>
      <c r="AV75" s="57">
        <v>4.7671550000000004E-3</v>
      </c>
      <c r="AY75" s="56">
        <v>0.64583333333333337</v>
      </c>
      <c r="AZ75" s="57">
        <v>0.111848815</v>
      </c>
      <c r="BC75" s="56">
        <v>0.64583333333333337</v>
      </c>
      <c r="BD75" s="57">
        <v>9.7103742000000007E-2</v>
      </c>
    </row>
    <row r="76" spans="3:56">
      <c r="C76" s="54">
        <v>0.65625</v>
      </c>
      <c r="D76" s="55">
        <v>9.4057613169999998E-2</v>
      </c>
      <c r="G76" s="56">
        <v>0.65625</v>
      </c>
      <c r="H76" s="57">
        <v>6.5297756540000002E-2</v>
      </c>
      <c r="K76" s="56">
        <v>0.65625</v>
      </c>
      <c r="L76" s="57">
        <v>4.7275223060000003E-2</v>
      </c>
      <c r="O76" s="56">
        <v>0.65625</v>
      </c>
      <c r="P76" s="57">
        <v>4.0970684780000002E-2</v>
      </c>
      <c r="S76" s="56">
        <v>0.65625</v>
      </c>
      <c r="T76" s="57">
        <v>3.9393422999999997E-2</v>
      </c>
      <c r="W76" s="56">
        <v>0.65625</v>
      </c>
      <c r="X76" s="57">
        <v>2.250392E-2</v>
      </c>
      <c r="Y76" s="58"/>
      <c r="AA76" s="56">
        <v>0.65625</v>
      </c>
      <c r="AB76" s="57">
        <v>0.19</v>
      </c>
      <c r="AE76" s="56">
        <v>0.65625</v>
      </c>
      <c r="AF76" s="57">
        <v>0.2581716</v>
      </c>
      <c r="AG76" s="58"/>
      <c r="AI76" s="56">
        <v>0.65625</v>
      </c>
      <c r="AJ76" s="57">
        <v>0.06</v>
      </c>
      <c r="AM76" s="56">
        <v>0.65625</v>
      </c>
      <c r="AN76" s="57">
        <v>2.8014568E-2</v>
      </c>
      <c r="AO76" s="58"/>
      <c r="AQ76" s="56">
        <v>0.65625</v>
      </c>
      <c r="AR76" s="57">
        <v>1.3004692E-2</v>
      </c>
      <c r="AU76" s="56">
        <v>0.65625</v>
      </c>
      <c r="AV76" s="57">
        <v>5.8807429999999999E-3</v>
      </c>
      <c r="AY76" s="56">
        <v>0.65625</v>
      </c>
      <c r="AZ76" s="57">
        <v>0.112181461</v>
      </c>
      <c r="BC76" s="56">
        <v>0.65625</v>
      </c>
      <c r="BD76" s="57">
        <v>0.10565833400000001</v>
      </c>
    </row>
    <row r="77" spans="3:56">
      <c r="C77" s="54">
        <v>0.66666666666666663</v>
      </c>
      <c r="D77" s="55">
        <v>0.1059947785</v>
      </c>
      <c r="G77" s="56">
        <v>0.66666666666666663</v>
      </c>
      <c r="H77" s="57">
        <v>6.214788265E-2</v>
      </c>
      <c r="K77" s="56">
        <v>0.66666666666666663</v>
      </c>
      <c r="L77" s="57">
        <v>4.6986654459999999E-2</v>
      </c>
      <c r="O77" s="56">
        <v>0.66666666666666663</v>
      </c>
      <c r="P77" s="57">
        <v>4.0267119410000003E-2</v>
      </c>
      <c r="S77" s="56">
        <v>0.66666666666666663</v>
      </c>
      <c r="T77" s="57">
        <v>4.0229516999999999E-2</v>
      </c>
      <c r="W77" s="56">
        <v>0.66666666666666663</v>
      </c>
      <c r="X77" s="57">
        <v>2.0270181000000002E-2</v>
      </c>
      <c r="Y77" s="58"/>
      <c r="AA77" s="56">
        <v>0.66666666666666663</v>
      </c>
      <c r="AB77" s="57">
        <v>0.21</v>
      </c>
      <c r="AE77" s="56">
        <v>0.66666666666666663</v>
      </c>
      <c r="AF77" s="57">
        <v>0.28589639999999999</v>
      </c>
      <c r="AG77" s="58"/>
      <c r="AI77" s="56">
        <v>0.66666666666666663</v>
      </c>
      <c r="AJ77" s="57">
        <v>7.0000000000000007E-2</v>
      </c>
      <c r="AM77" s="56">
        <v>0.66666666666666663</v>
      </c>
      <c r="AN77" s="57">
        <v>3.2321178999999998E-2</v>
      </c>
      <c r="AO77" s="58"/>
      <c r="AQ77" s="56">
        <v>0.66666666666666663</v>
      </c>
      <c r="AR77" s="57">
        <v>1.4868687E-2</v>
      </c>
      <c r="AU77" s="56">
        <v>0.66666666666666663</v>
      </c>
      <c r="AV77" s="57">
        <v>7.6363639999999997E-3</v>
      </c>
      <c r="AY77" s="56">
        <v>0.66666666666666663</v>
      </c>
      <c r="AZ77" s="57">
        <v>0.113723847</v>
      </c>
      <c r="BC77" s="56">
        <v>0.66666666666666663</v>
      </c>
      <c r="BD77" s="57">
        <v>0.105074996</v>
      </c>
    </row>
    <row r="78" spans="3:56">
      <c r="C78" s="54">
        <v>0.67708333333333337</v>
      </c>
      <c r="D78" s="55">
        <v>9.4713925389999995E-2</v>
      </c>
      <c r="G78" s="56">
        <v>0.67708333333333337</v>
      </c>
      <c r="H78" s="57">
        <v>6.4070091600000004E-2</v>
      </c>
      <c r="K78" s="56">
        <v>0.67708333333333337</v>
      </c>
      <c r="L78" s="57">
        <v>5.1137039580000002E-2</v>
      </c>
      <c r="O78" s="56">
        <v>0.67708333333333337</v>
      </c>
      <c r="P78" s="57">
        <v>4.147594793E-2</v>
      </c>
      <c r="S78" s="56">
        <v>0.67708333333333337</v>
      </c>
      <c r="T78" s="57">
        <v>3.8713889000000001E-2</v>
      </c>
      <c r="W78" s="56">
        <v>0.67708333333333337</v>
      </c>
      <c r="X78" s="57">
        <v>2.0610598000000001E-2</v>
      </c>
      <c r="Y78" s="58"/>
      <c r="AA78" s="56">
        <v>0.67708333333333337</v>
      </c>
      <c r="AB78" s="57">
        <v>0.23</v>
      </c>
      <c r="AE78" s="56">
        <v>0.67708333333333337</v>
      </c>
      <c r="AF78" s="57">
        <v>0.31263000000000002</v>
      </c>
      <c r="AG78" s="58"/>
      <c r="AI78" s="56">
        <v>0.67708333333333337</v>
      </c>
      <c r="AJ78" s="57">
        <v>0.08</v>
      </c>
      <c r="AM78" s="56">
        <v>0.67708333333333337</v>
      </c>
      <c r="AN78" s="57">
        <v>3.6094063000000003E-2</v>
      </c>
      <c r="AO78" s="58"/>
      <c r="AQ78" s="56">
        <v>0.67708333333333337</v>
      </c>
      <c r="AR78" s="57">
        <v>1.5984202999999999E-2</v>
      </c>
      <c r="AU78" s="56">
        <v>0.67708333333333337</v>
      </c>
      <c r="AV78" s="57">
        <v>7.8592379999999993E-3</v>
      </c>
      <c r="AY78" s="56">
        <v>0.67708333333333337</v>
      </c>
      <c r="AZ78" s="57">
        <v>0.111925384</v>
      </c>
      <c r="BC78" s="56">
        <v>0.67708333333333337</v>
      </c>
      <c r="BD78" s="57">
        <v>9.7473975000000004E-2</v>
      </c>
    </row>
    <row r="79" spans="3:56">
      <c r="C79" s="54">
        <v>0.6875</v>
      </c>
      <c r="D79" s="55">
        <v>9.9226337449999993E-2</v>
      </c>
      <c r="G79" s="56">
        <v>0.6875</v>
      </c>
      <c r="H79" s="57">
        <v>6.2964555950000001E-2</v>
      </c>
      <c r="K79" s="56">
        <v>0.6875</v>
      </c>
      <c r="L79" s="57">
        <v>4.9326927479999998E-2</v>
      </c>
      <c r="O79" s="56">
        <v>0.6875</v>
      </c>
      <c r="P79" s="57">
        <v>4.3769050550000001E-2</v>
      </c>
      <c r="S79" s="56">
        <v>0.6875</v>
      </c>
      <c r="T79" s="57">
        <v>4.3664204999999998E-2</v>
      </c>
      <c r="W79" s="56">
        <v>0.6875</v>
      </c>
      <c r="X79" s="57">
        <v>2.0769280000000001E-2</v>
      </c>
      <c r="Y79" s="58"/>
      <c r="AA79" s="56">
        <v>0.6875</v>
      </c>
      <c r="AB79" s="57">
        <v>0.25</v>
      </c>
      <c r="AE79" s="56">
        <v>0.6875</v>
      </c>
      <c r="AF79" s="57">
        <v>0.33904800000000002</v>
      </c>
      <c r="AG79" s="58"/>
      <c r="AI79" s="56">
        <v>0.6875</v>
      </c>
      <c r="AJ79" s="57">
        <v>0.08</v>
      </c>
      <c r="AM79" s="56">
        <v>0.6875</v>
      </c>
      <c r="AN79" s="57">
        <v>3.9405242E-2</v>
      </c>
      <c r="AO79" s="58"/>
      <c r="AQ79" s="56">
        <v>0.6875</v>
      </c>
      <c r="AR79" s="57">
        <v>1.9573332999999998E-2</v>
      </c>
      <c r="AU79" s="56">
        <v>0.6875</v>
      </c>
      <c r="AV79" s="57">
        <v>9.7329419999999996E-3</v>
      </c>
      <c r="AY79" s="56">
        <v>0.6875</v>
      </c>
      <c r="AZ79" s="57">
        <v>0.10758965700000001</v>
      </c>
      <c r="BC79" s="56">
        <v>0.6875</v>
      </c>
      <c r="BD79" s="57">
        <v>9.6225643E-2</v>
      </c>
    </row>
    <row r="80" spans="3:56">
      <c r="C80" s="54">
        <v>0.69791666666666663</v>
      </c>
      <c r="D80" s="55">
        <v>0.1032831541</v>
      </c>
      <c r="G80" s="56">
        <v>0.69791666666666663</v>
      </c>
      <c r="H80" s="57">
        <v>5.7606796760000002E-2</v>
      </c>
      <c r="K80" s="56">
        <v>0.69791666666666663</v>
      </c>
      <c r="L80" s="57">
        <v>4.7475634869999998E-2</v>
      </c>
      <c r="O80" s="56">
        <v>0.69791666666666663</v>
      </c>
      <c r="P80" s="57">
        <v>4.2198528579999998E-2</v>
      </c>
      <c r="S80" s="56">
        <v>0.69791666666666663</v>
      </c>
      <c r="T80" s="57">
        <v>4.2743125E-2</v>
      </c>
      <c r="W80" s="56">
        <v>0.69791666666666663</v>
      </c>
      <c r="X80" s="57">
        <v>2.0791670000000002E-2</v>
      </c>
      <c r="Y80" s="58"/>
      <c r="AA80" s="56">
        <v>0.69791666666666663</v>
      </c>
      <c r="AB80" s="57">
        <v>0.27</v>
      </c>
      <c r="AE80" s="56">
        <v>0.69791666666666663</v>
      </c>
      <c r="AF80" s="57">
        <v>0.3635524</v>
      </c>
      <c r="AG80" s="58"/>
      <c r="AI80" s="56">
        <v>0.69791666666666663</v>
      </c>
      <c r="AJ80" s="57">
        <v>0.09</v>
      </c>
      <c r="AM80" s="56">
        <v>0.69791666666666663</v>
      </c>
      <c r="AN80" s="57">
        <v>4.1743789000000003E-2</v>
      </c>
      <c r="AO80" s="58"/>
      <c r="AQ80" s="56">
        <v>0.69791666666666663</v>
      </c>
      <c r="AR80" s="57">
        <v>2.2083545E-2</v>
      </c>
      <c r="AU80" s="56">
        <v>0.69791666666666663</v>
      </c>
      <c r="AV80" s="57">
        <v>1.200391E-2</v>
      </c>
      <c r="AY80" s="56">
        <v>0.69791666666666663</v>
      </c>
      <c r="AZ80" s="57">
        <v>0.106876613</v>
      </c>
      <c r="BC80" s="56">
        <v>0.69791666666666663</v>
      </c>
      <c r="BD80" s="57">
        <v>9.8541977000000003E-2</v>
      </c>
    </row>
    <row r="81" spans="3:56">
      <c r="C81" s="54">
        <v>0.70833333333333337</v>
      </c>
      <c r="D81" s="55">
        <v>0.1076060534</v>
      </c>
      <c r="F81" s="40"/>
      <c r="G81" s="56">
        <v>0.70833333333333337</v>
      </c>
      <c r="H81" s="57">
        <v>6.4133811230000004E-2</v>
      </c>
      <c r="K81" s="56">
        <v>0.70833333333333337</v>
      </c>
      <c r="L81" s="57">
        <v>4.609013956E-2</v>
      </c>
      <c r="O81" s="56">
        <v>0.70833333333333337</v>
      </c>
      <c r="P81" s="57">
        <v>4.3812110920000001E-2</v>
      </c>
      <c r="S81" s="56">
        <v>0.70833333333333337</v>
      </c>
      <c r="T81" s="57">
        <v>4.4345724000000003E-2</v>
      </c>
      <c r="W81" s="56">
        <v>0.70833333333333337</v>
      </c>
      <c r="X81" s="57">
        <v>2.1463749000000001E-2</v>
      </c>
      <c r="Y81" s="58"/>
      <c r="AA81" s="56">
        <v>0.70833333333333337</v>
      </c>
      <c r="AB81" s="57">
        <v>0.28999999999999998</v>
      </c>
      <c r="AE81" s="56">
        <v>0.70833333333333337</v>
      </c>
      <c r="AF81" s="57">
        <v>0.3975052</v>
      </c>
      <c r="AG81" s="58"/>
      <c r="AI81" s="56">
        <v>0.70833333333333337</v>
      </c>
      <c r="AJ81" s="57">
        <v>0.09</v>
      </c>
      <c r="AM81" s="56">
        <v>0.70833333333333337</v>
      </c>
      <c r="AN81" s="57">
        <v>4.6585915999999998E-2</v>
      </c>
      <c r="AO81" s="58"/>
      <c r="AQ81" s="56">
        <v>0.70833333333333337</v>
      </c>
      <c r="AR81" s="57">
        <v>2.4132747E-2</v>
      </c>
      <c r="AU81" s="56">
        <v>0.70833333333333337</v>
      </c>
      <c r="AV81" s="57">
        <v>1.5589443E-2</v>
      </c>
      <c r="AY81" s="56">
        <v>0.70833333333333337</v>
      </c>
      <c r="AZ81" s="57">
        <v>0.117328048</v>
      </c>
      <c r="BC81" s="56">
        <v>0.70833333333333337</v>
      </c>
      <c r="BD81" s="57">
        <v>0.10544063400000001</v>
      </c>
    </row>
    <row r="82" spans="3:56">
      <c r="C82" s="54">
        <v>0.71875</v>
      </c>
      <c r="D82" s="55">
        <v>0.1082012478</v>
      </c>
      <c r="G82" s="56">
        <v>0.71875</v>
      </c>
      <c r="H82" s="57">
        <v>6.3608124249999995E-2</v>
      </c>
      <c r="K82" s="56">
        <v>0.71875</v>
      </c>
      <c r="L82" s="57">
        <v>4.0558224660000003E-2</v>
      </c>
      <c r="O82" s="56">
        <v>0.71875</v>
      </c>
      <c r="P82" s="57">
        <v>3.8850028299999999E-2</v>
      </c>
      <c r="S82" s="56">
        <v>0.71875</v>
      </c>
      <c r="T82" s="57">
        <v>4.1685660999999999E-2</v>
      </c>
      <c r="W82" s="56">
        <v>0.71875</v>
      </c>
      <c r="X82" s="57">
        <v>2.2360687000000001E-2</v>
      </c>
      <c r="Y82" s="58"/>
      <c r="AA82" s="56">
        <v>0.71875</v>
      </c>
      <c r="AB82" s="57">
        <v>0.31</v>
      </c>
      <c r="AE82" s="56">
        <v>0.71875</v>
      </c>
      <c r="AF82" s="57">
        <v>0.43360799999999999</v>
      </c>
      <c r="AG82" s="58"/>
      <c r="AI82" s="56">
        <v>0.71875</v>
      </c>
      <c r="AJ82" s="57">
        <v>0.1</v>
      </c>
      <c r="AM82" s="56">
        <v>0.71875</v>
      </c>
      <c r="AN82" s="57">
        <v>5.0374611E-2</v>
      </c>
      <c r="AO82" s="58"/>
      <c r="AQ82" s="56">
        <v>0.71875</v>
      </c>
      <c r="AR82" s="57">
        <v>3.0308282999999998E-2</v>
      </c>
      <c r="AU82" s="56">
        <v>0.71875</v>
      </c>
      <c r="AV82" s="57">
        <v>1.9644183999999999E-2</v>
      </c>
      <c r="AY82" s="56">
        <v>0.71875</v>
      </c>
      <c r="AZ82" s="57">
        <v>0.126159838</v>
      </c>
      <c r="BC82" s="56">
        <v>0.71875</v>
      </c>
      <c r="BD82" s="57">
        <v>0.11037389</v>
      </c>
    </row>
    <row r="83" spans="3:56">
      <c r="C83" s="54">
        <v>0.72916666666666663</v>
      </c>
      <c r="D83" s="55">
        <v>0.1085887163</v>
      </c>
      <c r="G83" s="56">
        <v>0.72916666666666663</v>
      </c>
      <c r="H83" s="57">
        <v>6.7906013540000004E-2</v>
      </c>
      <c r="K83" s="56">
        <v>0.72916666666666663</v>
      </c>
      <c r="L83" s="57">
        <v>4.436421871E-2</v>
      </c>
      <c r="O83" s="56">
        <v>0.72916666666666663</v>
      </c>
      <c r="P83" s="57">
        <v>3.5032484439999997E-2</v>
      </c>
      <c r="S83" s="56">
        <v>0.72916666666666663</v>
      </c>
      <c r="T83" s="57">
        <v>4.3341080999999997E-2</v>
      </c>
      <c r="W83" s="56">
        <v>0.72916666666666663</v>
      </c>
      <c r="X83" s="57">
        <v>2.2245228999999998E-2</v>
      </c>
      <c r="Y83" s="58"/>
      <c r="AA83" s="56">
        <v>0.72916666666666663</v>
      </c>
      <c r="AB83" s="57">
        <v>0.34</v>
      </c>
      <c r="AE83" s="56">
        <v>0.72916666666666663</v>
      </c>
      <c r="AF83" s="57">
        <v>0.47544120000000001</v>
      </c>
      <c r="AG83" s="58"/>
      <c r="AI83" s="56">
        <v>0.72916666666666663</v>
      </c>
      <c r="AJ83" s="57">
        <v>0.12</v>
      </c>
      <c r="AM83" s="56">
        <v>0.72916666666666663</v>
      </c>
      <c r="AN83" s="57">
        <v>5.6927221E-2</v>
      </c>
      <c r="AO83" s="58"/>
      <c r="AQ83" s="56">
        <v>0.72916666666666663</v>
      </c>
      <c r="AR83" s="57">
        <v>3.0615053999999999E-2</v>
      </c>
      <c r="AU83" s="56">
        <v>0.72916666666666663</v>
      </c>
      <c r="AV83" s="57">
        <v>1.9855326999999999E-2</v>
      </c>
      <c r="AY83" s="56">
        <v>0.72916666666666663</v>
      </c>
      <c r="AZ83" s="57">
        <v>0.14599659100000001</v>
      </c>
      <c r="BC83" s="56">
        <v>0.72916666666666663</v>
      </c>
      <c r="BD83" s="57">
        <v>0.11755765899999999</v>
      </c>
    </row>
    <row r="84" spans="3:56">
      <c r="C84" s="54">
        <v>0.73958333333333337</v>
      </c>
      <c r="D84" s="55">
        <v>0.1089701314</v>
      </c>
      <c r="G84" s="56">
        <v>0.73958333333333337</v>
      </c>
      <c r="H84" s="57">
        <v>7.3403955930000001E-2</v>
      </c>
      <c r="K84" s="56">
        <v>0.73958333333333337</v>
      </c>
      <c r="L84" s="57">
        <v>4.8680851060000002E-2</v>
      </c>
      <c r="O84" s="56">
        <v>0.73958333333333337</v>
      </c>
      <c r="P84" s="57">
        <v>3.6760158459999998E-2</v>
      </c>
      <c r="S84" s="56">
        <v>0.73958333333333337</v>
      </c>
      <c r="T84" s="57">
        <v>4.7330095000000003E-2</v>
      </c>
      <c r="W84" s="56">
        <v>0.73958333333333337</v>
      </c>
      <c r="X84" s="57">
        <v>2.0958187E-2</v>
      </c>
      <c r="Y84" s="58"/>
      <c r="AA84" s="56">
        <v>0.73958333333333337</v>
      </c>
      <c r="AB84" s="57">
        <v>0.36</v>
      </c>
      <c r="AE84" s="56">
        <v>0.73958333333333337</v>
      </c>
      <c r="AF84" s="57">
        <v>0.50722480000000003</v>
      </c>
      <c r="AG84" s="58"/>
      <c r="AI84" s="56">
        <v>0.73958333333333337</v>
      </c>
      <c r="AJ84" s="57">
        <v>0.12</v>
      </c>
      <c r="AM84" s="56">
        <v>0.73958333333333337</v>
      </c>
      <c r="AN84" s="57">
        <v>5.9998968E-2</v>
      </c>
      <c r="AO84" s="58"/>
      <c r="AQ84" s="56">
        <v>0.73958333333333337</v>
      </c>
      <c r="AR84" s="57">
        <v>3.2290909E-2</v>
      </c>
      <c r="AU84" s="56">
        <v>0.73958333333333337</v>
      </c>
      <c r="AV84" s="57">
        <v>2.1770478999999999E-2</v>
      </c>
      <c r="AY84" s="56">
        <v>0.73958333333333337</v>
      </c>
      <c r="AZ84" s="57">
        <v>0.16228854500000001</v>
      </c>
      <c r="BC84" s="56">
        <v>0.73958333333333337</v>
      </c>
      <c r="BD84" s="57">
        <v>0.12695319799999999</v>
      </c>
    </row>
    <row r="85" spans="3:56">
      <c r="C85" s="54">
        <v>0.75</v>
      </c>
      <c r="D85" s="55">
        <v>0.10386300280000001</v>
      </c>
      <c r="G85" s="56">
        <v>0.75</v>
      </c>
      <c r="H85" s="57">
        <v>6.5588742859999993E-2</v>
      </c>
      <c r="K85" s="56">
        <v>0.75</v>
      </c>
      <c r="L85" s="57">
        <v>4.9782658430000001E-2</v>
      </c>
      <c r="O85" s="56">
        <v>0.75</v>
      </c>
      <c r="P85" s="57">
        <v>3.9289190719999999E-2</v>
      </c>
      <c r="S85" s="56">
        <v>0.75</v>
      </c>
      <c r="T85" s="57">
        <v>4.7188591000000002E-2</v>
      </c>
      <c r="W85" s="56">
        <v>0.75</v>
      </c>
      <c r="X85" s="57">
        <v>2.1484065E-2</v>
      </c>
      <c r="Y85" s="58"/>
      <c r="AA85" s="56">
        <v>0.75</v>
      </c>
      <c r="AB85" s="57">
        <v>0.38</v>
      </c>
      <c r="AE85" s="56">
        <v>0.75</v>
      </c>
      <c r="AF85" s="57">
        <v>0.54059639999999998</v>
      </c>
      <c r="AG85" s="58"/>
      <c r="AI85" s="56">
        <v>0.75</v>
      </c>
      <c r="AJ85" s="57">
        <v>0.13</v>
      </c>
      <c r="AM85" s="56">
        <v>0.75</v>
      </c>
      <c r="AN85" s="57">
        <v>6.3639705000000005E-2</v>
      </c>
      <c r="AO85" s="58"/>
      <c r="AQ85" s="56">
        <v>0.75</v>
      </c>
      <c r="AR85" s="57">
        <v>2.9708700000000001E-2</v>
      </c>
      <c r="AU85" s="56">
        <v>0.75</v>
      </c>
      <c r="AV85" s="57">
        <v>2.1051808000000002E-2</v>
      </c>
      <c r="AY85" s="56">
        <v>0.75</v>
      </c>
      <c r="AZ85" s="57">
        <v>0.159854788</v>
      </c>
      <c r="BC85" s="56">
        <v>0.75</v>
      </c>
      <c r="BD85" s="57">
        <v>0.13046118000000001</v>
      </c>
    </row>
    <row r="86" spans="3:56">
      <c r="C86" s="54">
        <v>0.76041666666666663</v>
      </c>
      <c r="D86" s="55">
        <v>9.4257268020000007E-2</v>
      </c>
      <c r="G86" s="56">
        <v>0.76041666666666663</v>
      </c>
      <c r="H86" s="57">
        <v>6.5949820790000002E-2</v>
      </c>
      <c r="K86" s="56">
        <v>0.76041666666666663</v>
      </c>
      <c r="L86" s="57">
        <v>4.7110501030000002E-2</v>
      </c>
      <c r="O86" s="56">
        <v>0.76041666666666663</v>
      </c>
      <c r="P86" s="57">
        <v>3.3720430109999998E-2</v>
      </c>
      <c r="S86" s="56">
        <v>0.76041666666666663</v>
      </c>
      <c r="T86" s="57">
        <v>4.8183557000000002E-2</v>
      </c>
      <c r="W86" s="56">
        <v>0.76041666666666663</v>
      </c>
      <c r="X86" s="57">
        <v>2.3059873000000002E-2</v>
      </c>
      <c r="Y86" s="58"/>
      <c r="AA86" s="56">
        <v>0.76041666666666663</v>
      </c>
      <c r="AB86" s="57">
        <v>0.4</v>
      </c>
      <c r="AE86" s="56">
        <v>0.76041666666666663</v>
      </c>
      <c r="AF86" s="57">
        <v>0.56658200000000003</v>
      </c>
      <c r="AG86" s="58"/>
      <c r="AI86" s="56">
        <v>0.76041666666666663</v>
      </c>
      <c r="AJ86" s="57">
        <v>0.14000000000000001</v>
      </c>
      <c r="AM86" s="56">
        <v>0.76041666666666663</v>
      </c>
      <c r="AN86" s="57">
        <v>6.5331978999999998E-2</v>
      </c>
      <c r="AO86" s="58"/>
      <c r="AQ86" s="56">
        <v>0.76041666666666663</v>
      </c>
      <c r="AR86" s="57">
        <v>2.8181570999999999E-2</v>
      </c>
      <c r="AU86" s="56">
        <v>0.76041666666666663</v>
      </c>
      <c r="AV86" s="57">
        <v>2.0523949E-2</v>
      </c>
      <c r="AY86" s="56">
        <v>0.76041666666666663</v>
      </c>
      <c r="AZ86" s="57">
        <v>0.15332594299999999</v>
      </c>
      <c r="BC86" s="56">
        <v>0.76041666666666663</v>
      </c>
      <c r="BD86" s="57">
        <v>0.13269968200000001</v>
      </c>
    </row>
    <row r="87" spans="3:56">
      <c r="C87" s="54">
        <v>0.77083333333333337</v>
      </c>
      <c r="D87" s="55">
        <v>0.1015138723</v>
      </c>
      <c r="G87" s="56">
        <v>0.77083333333333337</v>
      </c>
      <c r="H87" s="57">
        <v>7.0745785209999995E-2</v>
      </c>
      <c r="K87" s="56">
        <v>0.77083333333333337</v>
      </c>
      <c r="L87" s="57">
        <v>4.2569663690000002E-2</v>
      </c>
      <c r="O87" s="56">
        <v>0.77083333333333337</v>
      </c>
      <c r="P87" s="57">
        <v>2.9987096769999999E-2</v>
      </c>
      <c r="S87" s="56">
        <v>0.77083333333333337</v>
      </c>
      <c r="T87" s="57">
        <v>5.2857542E-2</v>
      </c>
      <c r="W87" s="56">
        <v>0.77083333333333337</v>
      </c>
      <c r="X87" s="57">
        <v>2.5900051E-2</v>
      </c>
      <c r="Y87" s="58"/>
      <c r="AA87" s="56">
        <v>0.77083333333333337</v>
      </c>
      <c r="AB87" s="57">
        <v>0.42</v>
      </c>
      <c r="AE87" s="56">
        <v>0.77083333333333337</v>
      </c>
      <c r="AF87" s="57">
        <v>0.58984559999999997</v>
      </c>
      <c r="AG87" s="58"/>
      <c r="AI87" s="56">
        <v>0.77083333333333337</v>
      </c>
      <c r="AJ87" s="57">
        <v>0.14000000000000001</v>
      </c>
      <c r="AM87" s="56">
        <v>0.77083333333333337</v>
      </c>
      <c r="AN87" s="57">
        <v>6.6710967999999995E-2</v>
      </c>
      <c r="AO87" s="58"/>
      <c r="AQ87" s="56">
        <v>0.77083333333333337</v>
      </c>
      <c r="AR87" s="57">
        <v>2.4620137E-2</v>
      </c>
      <c r="AU87" s="56">
        <v>0.77083333333333337</v>
      </c>
      <c r="AV87" s="57">
        <v>1.7780645000000001E-2</v>
      </c>
      <c r="AY87" s="56">
        <v>0.77083333333333337</v>
      </c>
      <c r="AZ87" s="57">
        <v>0.147725261</v>
      </c>
      <c r="BC87" s="56">
        <v>0.77083333333333337</v>
      </c>
      <c r="BD87" s="57">
        <v>0.14199463600000001</v>
      </c>
    </row>
    <row r="88" spans="3:56">
      <c r="C88" s="54">
        <v>0.78125</v>
      </c>
      <c r="D88" s="55">
        <v>0.10055064380000001</v>
      </c>
      <c r="G88" s="56">
        <v>0.78125</v>
      </c>
      <c r="H88" s="57">
        <v>6.5446435679999998E-2</v>
      </c>
      <c r="K88" s="56">
        <v>0.78125</v>
      </c>
      <c r="L88" s="57">
        <v>4.4278197210000002E-2</v>
      </c>
      <c r="O88" s="56">
        <v>0.78125</v>
      </c>
      <c r="P88" s="57">
        <v>3.0388228640000001E-2</v>
      </c>
      <c r="S88" s="56">
        <v>0.78125</v>
      </c>
      <c r="T88" s="57">
        <v>5.8440898999999998E-2</v>
      </c>
      <c r="W88" s="56">
        <v>0.78125</v>
      </c>
      <c r="X88" s="57">
        <v>2.7437961E-2</v>
      </c>
      <c r="Y88" s="58"/>
      <c r="AA88" s="56">
        <v>0.78125</v>
      </c>
      <c r="AB88" s="57">
        <v>0.43</v>
      </c>
      <c r="AE88" s="56">
        <v>0.78125</v>
      </c>
      <c r="AF88" s="57">
        <v>0.60527960000000003</v>
      </c>
      <c r="AG88" s="58"/>
      <c r="AI88" s="56">
        <v>0.78125</v>
      </c>
      <c r="AJ88" s="57">
        <v>0.14000000000000001</v>
      </c>
      <c r="AM88" s="56">
        <v>0.78125</v>
      </c>
      <c r="AN88" s="57">
        <v>6.6404632000000005E-2</v>
      </c>
      <c r="AO88" s="58"/>
      <c r="AQ88" s="56">
        <v>0.78125</v>
      </c>
      <c r="AR88" s="57">
        <v>2.1505376E-2</v>
      </c>
      <c r="AU88" s="56">
        <v>0.78125</v>
      </c>
      <c r="AV88" s="57">
        <v>1.7385728E-2</v>
      </c>
      <c r="AY88" s="56">
        <v>0.78125</v>
      </c>
      <c r="AZ88" s="57">
        <v>0.14549617500000001</v>
      </c>
      <c r="BC88" s="56">
        <v>0.78125</v>
      </c>
      <c r="BD88" s="57">
        <v>0.13858077099999999</v>
      </c>
    </row>
    <row r="89" spans="3:56">
      <c r="C89" s="54">
        <v>0.79166666666666663</v>
      </c>
      <c r="D89" s="55">
        <v>0.104006372</v>
      </c>
      <c r="G89" s="56">
        <v>0.79166666666666663</v>
      </c>
      <c r="H89" s="57">
        <v>7.0080977030000005E-2</v>
      </c>
      <c r="K89" s="56">
        <v>0.79166666666666663</v>
      </c>
      <c r="L89" s="57">
        <v>4.5632578360000002E-2</v>
      </c>
      <c r="O89" s="56">
        <v>0.79166666666666663</v>
      </c>
      <c r="P89" s="57">
        <v>3.2027164689999998E-2</v>
      </c>
      <c r="S89" s="56">
        <v>0.79166666666666663</v>
      </c>
      <c r="T89" s="57">
        <v>6.3922318000000006E-2</v>
      </c>
      <c r="W89" s="56">
        <v>0.79166666666666663</v>
      </c>
      <c r="X89" s="57">
        <v>3.0171255000000001E-2</v>
      </c>
      <c r="Y89" s="58"/>
      <c r="AA89" s="56">
        <v>0.79166666666666663</v>
      </c>
      <c r="AB89" s="57">
        <v>0.44</v>
      </c>
      <c r="AE89" s="56">
        <v>0.79166666666666663</v>
      </c>
      <c r="AF89" s="57">
        <v>0.61960839999999995</v>
      </c>
      <c r="AG89" s="58"/>
      <c r="AI89" s="56">
        <v>0.79166666666666663</v>
      </c>
      <c r="AJ89" s="57">
        <v>0.14000000000000001</v>
      </c>
      <c r="AM89" s="56">
        <v>0.79166666666666663</v>
      </c>
      <c r="AN89" s="57">
        <v>6.6439726000000005E-2</v>
      </c>
      <c r="AO89" s="58"/>
      <c r="AQ89" s="56">
        <v>0.79166666666666663</v>
      </c>
      <c r="AR89" s="57">
        <v>1.9104593999999999E-2</v>
      </c>
      <c r="AU89" s="56">
        <v>0.79166666666666663</v>
      </c>
      <c r="AV89" s="57">
        <v>1.6207234000000001E-2</v>
      </c>
      <c r="AY89" s="56">
        <v>0.79166666666666663</v>
      </c>
      <c r="AZ89" s="57">
        <v>0.14519358399999999</v>
      </c>
      <c r="BC89" s="56">
        <v>0.79166666666666663</v>
      </c>
      <c r="BD89" s="57">
        <v>0.134993314</v>
      </c>
    </row>
    <row r="90" spans="3:56">
      <c r="C90" s="54">
        <v>0.80208333333333337</v>
      </c>
      <c r="D90" s="55">
        <v>0.1124917032</v>
      </c>
      <c r="G90" s="56">
        <v>0.80208333333333337</v>
      </c>
      <c r="H90" s="57">
        <v>7.2475773260000001E-2</v>
      </c>
      <c r="K90" s="56">
        <v>0.80208333333333337</v>
      </c>
      <c r="L90" s="57">
        <v>4.4250743539999998E-2</v>
      </c>
      <c r="O90" s="56">
        <v>0.80208333333333337</v>
      </c>
      <c r="P90" s="57">
        <v>3.4105263160000003E-2</v>
      </c>
      <c r="S90" s="56">
        <v>0.80208333333333337</v>
      </c>
      <c r="T90" s="57">
        <v>7.0805326000000002E-2</v>
      </c>
      <c r="W90" s="56">
        <v>0.80208333333333337</v>
      </c>
      <c r="X90" s="57">
        <v>3.1433398000000001E-2</v>
      </c>
      <c r="Y90" s="58"/>
      <c r="AA90" s="56">
        <v>0.80208333333333337</v>
      </c>
      <c r="AB90" s="57">
        <v>0.45</v>
      </c>
      <c r="AE90" s="56">
        <v>0.80208333333333337</v>
      </c>
      <c r="AF90" s="57">
        <v>0.63217319999999999</v>
      </c>
      <c r="AG90" s="58"/>
      <c r="AI90" s="56">
        <v>0.80208333333333337</v>
      </c>
      <c r="AJ90" s="57">
        <v>0.13</v>
      </c>
      <c r="AM90" s="56">
        <v>0.80208333333333337</v>
      </c>
      <c r="AN90" s="57">
        <v>6.5167579000000003E-2</v>
      </c>
      <c r="AO90" s="58"/>
      <c r="AQ90" s="56">
        <v>0.80208333333333337</v>
      </c>
      <c r="AR90" s="57">
        <v>1.9233627E-2</v>
      </c>
      <c r="AU90" s="56">
        <v>0.80208333333333337</v>
      </c>
      <c r="AV90" s="57">
        <v>1.3571847999999999E-2</v>
      </c>
      <c r="AY90" s="56">
        <v>0.80208333333333337</v>
      </c>
      <c r="AZ90" s="57">
        <v>0.15291270200000001</v>
      </c>
      <c r="BC90" s="56">
        <v>0.80208333333333337</v>
      </c>
      <c r="BD90" s="57">
        <v>0.12949756200000001</v>
      </c>
    </row>
    <row r="91" spans="3:56">
      <c r="C91" s="54">
        <v>0.8125</v>
      </c>
      <c r="D91" s="55">
        <v>0.1059111415</v>
      </c>
      <c r="G91" s="56">
        <v>0.8125</v>
      </c>
      <c r="H91" s="57">
        <v>7.3100225670000005E-2</v>
      </c>
      <c r="K91" s="56">
        <v>0.8125</v>
      </c>
      <c r="L91" s="57">
        <v>4.108442004E-2</v>
      </c>
      <c r="O91" s="56">
        <v>0.8125</v>
      </c>
      <c r="P91" s="57">
        <v>3.3104697230000001E-2</v>
      </c>
      <c r="S91" s="56">
        <v>0.8125</v>
      </c>
      <c r="T91" s="57">
        <v>7.6303495999999998E-2</v>
      </c>
      <c r="W91" s="56">
        <v>0.8125</v>
      </c>
      <c r="X91" s="57">
        <v>3.6914236000000003E-2</v>
      </c>
      <c r="Y91" s="58"/>
      <c r="AA91" s="56">
        <v>0.8125</v>
      </c>
      <c r="AB91" s="57">
        <v>0.46</v>
      </c>
      <c r="AE91" s="56">
        <v>0.8125</v>
      </c>
      <c r="AF91" s="57">
        <v>0.64371999999999996</v>
      </c>
      <c r="AG91" s="58"/>
      <c r="AI91" s="56">
        <v>0.8125</v>
      </c>
      <c r="AJ91" s="57">
        <v>0.13</v>
      </c>
      <c r="AM91" s="56">
        <v>0.8125</v>
      </c>
      <c r="AN91" s="57">
        <v>6.4474611000000001E-2</v>
      </c>
      <c r="AO91" s="58"/>
      <c r="AQ91" s="56">
        <v>0.8125</v>
      </c>
      <c r="AR91" s="57">
        <v>1.6423851E-2</v>
      </c>
      <c r="AU91" s="56">
        <v>0.8125</v>
      </c>
      <c r="AV91" s="57">
        <v>1.0889541000000001E-2</v>
      </c>
      <c r="AY91" s="56">
        <v>0.8125</v>
      </c>
      <c r="AZ91" s="57">
        <v>0.15928640599999999</v>
      </c>
      <c r="BC91" s="56">
        <v>0.8125</v>
      </c>
      <c r="BD91" s="57">
        <v>0.12967984199999999</v>
      </c>
    </row>
    <row r="92" spans="3:56">
      <c r="C92" s="54">
        <v>0.82291666666666663</v>
      </c>
      <c r="D92" s="55">
        <v>9.1053232440000006E-2</v>
      </c>
      <c r="G92" s="56">
        <v>0.82291666666666663</v>
      </c>
      <c r="H92" s="57">
        <v>7.0172308510000003E-2</v>
      </c>
      <c r="K92" s="56">
        <v>0.82291666666666663</v>
      </c>
      <c r="L92" s="57">
        <v>3.6811713570000001E-2</v>
      </c>
      <c r="O92" s="56">
        <v>0.82291666666666663</v>
      </c>
      <c r="P92" s="57">
        <v>3.6187889080000001E-2</v>
      </c>
      <c r="S92" s="56">
        <v>0.82291666666666663</v>
      </c>
      <c r="T92" s="57">
        <v>7.7910717000000004E-2</v>
      </c>
      <c r="W92" s="56">
        <v>0.82291666666666663</v>
      </c>
      <c r="X92" s="57">
        <v>3.7982522999999997E-2</v>
      </c>
      <c r="Y92" s="58"/>
      <c r="AA92" s="56">
        <v>0.82291666666666663</v>
      </c>
      <c r="AB92" s="57">
        <v>0.47</v>
      </c>
      <c r="AE92" s="56">
        <v>0.82291666666666663</v>
      </c>
      <c r="AF92" s="57">
        <v>0.6516748</v>
      </c>
      <c r="AG92" s="58"/>
      <c r="AI92" s="56">
        <v>0.82291666666666663</v>
      </c>
      <c r="AJ92" s="57">
        <v>0.13</v>
      </c>
      <c r="AM92" s="56">
        <v>0.82291666666666663</v>
      </c>
      <c r="AN92" s="57">
        <v>6.1584274000000001E-2</v>
      </c>
      <c r="AO92" s="58"/>
      <c r="AQ92" s="56">
        <v>0.82291666666666663</v>
      </c>
      <c r="AR92" s="57">
        <v>1.2283871E-2</v>
      </c>
      <c r="AU92" s="56">
        <v>0.82291666666666663</v>
      </c>
      <c r="AV92" s="57">
        <v>9.9784950000000004E-3</v>
      </c>
      <c r="AY92" s="56">
        <v>0.82291666666666663</v>
      </c>
      <c r="AZ92" s="57">
        <v>0.164838291</v>
      </c>
      <c r="BC92" s="56">
        <v>0.82291666666666663</v>
      </c>
      <c r="BD92" s="57">
        <v>0.13488613299999999</v>
      </c>
    </row>
    <row r="93" spans="3:56">
      <c r="C93" s="54">
        <v>0.83333333333333337</v>
      </c>
      <c r="D93" s="55">
        <v>9.5961768219999993E-2</v>
      </c>
      <c r="G93" s="56">
        <v>0.83333333333333337</v>
      </c>
      <c r="H93" s="57">
        <v>7.4993426190000004E-2</v>
      </c>
      <c r="K93" s="56">
        <v>0.83333333333333337</v>
      </c>
      <c r="L93" s="57">
        <v>3.7959277049999997E-2</v>
      </c>
      <c r="O93" s="56">
        <v>0.83333333333333337</v>
      </c>
      <c r="P93" s="57">
        <v>3.8288624790000003E-2</v>
      </c>
      <c r="S93" s="56">
        <v>0.83333333333333337</v>
      </c>
      <c r="T93" s="57">
        <v>7.7694676000000004E-2</v>
      </c>
      <c r="W93" s="56">
        <v>0.83333333333333337</v>
      </c>
      <c r="X93" s="57">
        <v>3.8002719999999997E-2</v>
      </c>
      <c r="Y93" s="58"/>
      <c r="AA93" s="56">
        <v>0.83333333333333337</v>
      </c>
      <c r="AB93" s="57">
        <v>0.47</v>
      </c>
      <c r="AE93" s="56">
        <v>0.83333333333333337</v>
      </c>
      <c r="AF93" s="57">
        <v>0.65851320000000002</v>
      </c>
      <c r="AG93" s="58"/>
      <c r="AI93" s="56">
        <v>0.83333333333333337</v>
      </c>
      <c r="AJ93" s="57">
        <v>0.13</v>
      </c>
      <c r="AM93" s="56">
        <v>0.83333333333333337</v>
      </c>
      <c r="AN93" s="57">
        <v>5.9106820999999997E-2</v>
      </c>
      <c r="AO93" s="58"/>
      <c r="AQ93" s="56">
        <v>0.83333333333333337</v>
      </c>
      <c r="AR93" s="57">
        <v>9.5757580000000002E-3</v>
      </c>
      <c r="AU93" s="56">
        <v>0.83333333333333337</v>
      </c>
      <c r="AV93" s="57">
        <v>8.9227760000000003E-3</v>
      </c>
      <c r="AY93" s="56">
        <v>0.83333333333333337</v>
      </c>
      <c r="AZ93" s="57">
        <v>0.16099103000000001</v>
      </c>
      <c r="BC93" s="56">
        <v>0.83333333333333337</v>
      </c>
      <c r="BD93" s="57">
        <v>0.133682203</v>
      </c>
    </row>
    <row r="94" spans="3:56">
      <c r="C94" s="54">
        <v>0.84375</v>
      </c>
      <c r="D94" s="55">
        <v>9.8940661090000007E-2</v>
      </c>
      <c r="G94" s="56">
        <v>0.84375</v>
      </c>
      <c r="H94" s="57">
        <v>8.2527545470000005E-2</v>
      </c>
      <c r="K94" s="56">
        <v>0.84375</v>
      </c>
      <c r="L94" s="57">
        <v>3.8755433540000002E-2</v>
      </c>
      <c r="O94" s="56">
        <v>0.84375</v>
      </c>
      <c r="P94" s="57">
        <v>3.655913978E-2</v>
      </c>
      <c r="S94" s="56">
        <v>0.84375</v>
      </c>
      <c r="T94" s="57">
        <v>7.8069828999999993E-2</v>
      </c>
      <c r="W94" s="56">
        <v>0.84375</v>
      </c>
      <c r="X94" s="57">
        <v>3.6028544000000003E-2</v>
      </c>
      <c r="Y94" s="58"/>
      <c r="AA94" s="56">
        <v>0.84375</v>
      </c>
      <c r="AB94" s="57">
        <v>0.48</v>
      </c>
      <c r="AE94" s="56">
        <v>0.84375</v>
      </c>
      <c r="AF94" s="57">
        <v>0.66576639999999998</v>
      </c>
      <c r="AG94" s="58"/>
      <c r="AI94" s="56">
        <v>0.84375</v>
      </c>
      <c r="AJ94" s="57">
        <v>0.13</v>
      </c>
      <c r="AM94" s="56">
        <v>0.84375</v>
      </c>
      <c r="AN94" s="57">
        <v>5.7956125999999997E-2</v>
      </c>
      <c r="AO94" s="58"/>
      <c r="AQ94" s="56">
        <v>0.84375</v>
      </c>
      <c r="AR94" s="57">
        <v>7.9374389999999993E-3</v>
      </c>
      <c r="AU94" s="56">
        <v>0.84375</v>
      </c>
      <c r="AV94" s="57">
        <v>6.8387099999999996E-3</v>
      </c>
      <c r="AY94" s="56">
        <v>0.84375</v>
      </c>
      <c r="AZ94" s="57">
        <v>0.15583482400000001</v>
      </c>
      <c r="BC94" s="56">
        <v>0.84375</v>
      </c>
      <c r="BD94" s="57">
        <v>0.13540539500000001</v>
      </c>
    </row>
    <row r="95" spans="3:56">
      <c r="C95" s="54">
        <v>0.85416666666666663</v>
      </c>
      <c r="D95" s="55">
        <v>9.631647418E-2</v>
      </c>
      <c r="G95" s="56">
        <v>0.85416666666666663</v>
      </c>
      <c r="H95" s="57">
        <v>7.9285372670000007E-2</v>
      </c>
      <c r="K95" s="56">
        <v>0.85416666666666663</v>
      </c>
      <c r="L95" s="57">
        <v>3.9451841680000002E-2</v>
      </c>
      <c r="O95" s="56">
        <v>0.85416666666666663</v>
      </c>
      <c r="P95" s="57">
        <v>3.6158007919999999E-2</v>
      </c>
      <c r="S95" s="56">
        <v>0.85416666666666663</v>
      </c>
      <c r="T95" s="57">
        <v>7.7178880000000005E-2</v>
      </c>
      <c r="W95" s="56">
        <v>0.85416666666666663</v>
      </c>
      <c r="X95" s="57">
        <v>3.5963022999999997E-2</v>
      </c>
      <c r="Y95" s="58"/>
      <c r="AA95" s="56">
        <v>0.85416666666666663</v>
      </c>
      <c r="AB95" s="57">
        <v>0.48</v>
      </c>
      <c r="AE95" s="56">
        <v>0.85416666666666663</v>
      </c>
      <c r="AF95" s="57">
        <v>0.67053799999999997</v>
      </c>
      <c r="AG95" s="58"/>
      <c r="AI95" s="56">
        <v>0.85416666666666663</v>
      </c>
      <c r="AJ95" s="57">
        <v>0.12</v>
      </c>
      <c r="AM95" s="56">
        <v>0.85416666666666663</v>
      </c>
      <c r="AN95" s="57">
        <v>5.6223579000000003E-2</v>
      </c>
      <c r="AO95" s="58"/>
      <c r="AQ95" s="56">
        <v>0.85416666666666663</v>
      </c>
      <c r="AR95" s="57">
        <v>5.3567939999999998E-3</v>
      </c>
      <c r="AU95" s="56">
        <v>0.85416666666666663</v>
      </c>
      <c r="AV95" s="57">
        <v>5.9120229999999998E-3</v>
      </c>
      <c r="AY95" s="56">
        <v>0.85416666666666663</v>
      </c>
      <c r="AZ95" s="57">
        <v>0.16181462199999999</v>
      </c>
      <c r="BC95" s="56">
        <v>0.85416666666666663</v>
      </c>
      <c r="BD95" s="57">
        <v>0.14107371299999999</v>
      </c>
    </row>
    <row r="96" spans="3:56">
      <c r="C96" s="54">
        <v>0.86458333333333337</v>
      </c>
      <c r="D96" s="55">
        <v>9.668286207E-2</v>
      </c>
      <c r="G96" s="56">
        <v>0.86458333333333337</v>
      </c>
      <c r="H96" s="57">
        <v>7.4427718039999993E-2</v>
      </c>
      <c r="K96" s="56">
        <v>0.86458333333333337</v>
      </c>
      <c r="L96" s="57">
        <v>3.841317776E-2</v>
      </c>
      <c r="O96" s="56">
        <v>0.86458333333333337</v>
      </c>
      <c r="P96" s="57">
        <v>3.3202490100000003E-2</v>
      </c>
      <c r="S96" s="56">
        <v>0.86458333333333337</v>
      </c>
      <c r="T96" s="57">
        <v>7.9190942E-2</v>
      </c>
      <c r="W96" s="56">
        <v>0.86458333333333337</v>
      </c>
      <c r="X96" s="57">
        <v>3.6282640999999997E-2</v>
      </c>
      <c r="Y96" s="58"/>
      <c r="AA96" s="56">
        <v>0.86458333333333337</v>
      </c>
      <c r="AB96" s="57">
        <v>0.49</v>
      </c>
      <c r="AE96" s="56">
        <v>0.86458333333333337</v>
      </c>
      <c r="AF96" s="57">
        <v>0.67344079999999995</v>
      </c>
      <c r="AG96" s="58"/>
      <c r="AI96" s="56">
        <v>0.86458333333333337</v>
      </c>
      <c r="AJ96" s="57">
        <v>0.12</v>
      </c>
      <c r="AM96" s="56">
        <v>0.86458333333333337</v>
      </c>
      <c r="AN96" s="57">
        <v>5.4805199999999998E-2</v>
      </c>
      <c r="AO96" s="58"/>
      <c r="AQ96" s="56">
        <v>0.86458333333333337</v>
      </c>
      <c r="AR96" s="57">
        <v>5.1229719999999999E-3</v>
      </c>
      <c r="AU96" s="56">
        <v>0.86458333333333337</v>
      </c>
      <c r="AV96" s="57">
        <v>6.0449659999999997E-3</v>
      </c>
      <c r="AY96" s="56">
        <v>0.86458333333333337</v>
      </c>
      <c r="AZ96" s="57">
        <v>0.15385452499999999</v>
      </c>
      <c r="BC96" s="56">
        <v>0.86458333333333337</v>
      </c>
      <c r="BD96" s="57">
        <v>0.15050032099999999</v>
      </c>
    </row>
    <row r="97" spans="3:56">
      <c r="C97" s="54">
        <v>0.875</v>
      </c>
      <c r="D97" s="55">
        <v>9.3540422139999996E-2</v>
      </c>
      <c r="G97" s="56">
        <v>0.875</v>
      </c>
      <c r="H97" s="57">
        <v>7.3914774990000001E-2</v>
      </c>
      <c r="K97" s="56">
        <v>0.875</v>
      </c>
      <c r="L97" s="57">
        <v>3.9652253489999997E-2</v>
      </c>
      <c r="O97" s="56">
        <v>0.875</v>
      </c>
      <c r="P97" s="57">
        <v>3.3964912280000002E-2</v>
      </c>
      <c r="S97" s="56">
        <v>0.875</v>
      </c>
      <c r="T97" s="57">
        <v>7.3714792000000001E-2</v>
      </c>
      <c r="W97" s="56">
        <v>0.875</v>
      </c>
      <c r="X97" s="57">
        <v>3.5077467000000001E-2</v>
      </c>
      <c r="Y97" s="58"/>
      <c r="AA97" s="56">
        <v>0.875</v>
      </c>
      <c r="AB97" s="57">
        <v>0.5</v>
      </c>
      <c r="AE97" s="56">
        <v>0.875</v>
      </c>
      <c r="AF97" s="57">
        <v>0.6808012</v>
      </c>
      <c r="AG97" s="58"/>
      <c r="AI97" s="56">
        <v>0.875</v>
      </c>
      <c r="AJ97" s="57">
        <v>0.12</v>
      </c>
      <c r="AM97" s="56">
        <v>0.875</v>
      </c>
      <c r="AN97" s="57">
        <v>5.3648211000000001E-2</v>
      </c>
      <c r="AO97" s="58"/>
      <c r="AQ97" s="56">
        <v>0.875</v>
      </c>
      <c r="AR97" s="57">
        <v>4.4802349999999999E-3</v>
      </c>
      <c r="AU97" s="56">
        <v>0.875</v>
      </c>
      <c r="AV97" s="57">
        <v>4.5239490000000002E-3</v>
      </c>
      <c r="AY97" s="56">
        <v>0.875</v>
      </c>
      <c r="AZ97" s="57">
        <v>0.168078741</v>
      </c>
      <c r="BC97" s="56">
        <v>0.875</v>
      </c>
      <c r="BD97" s="57">
        <v>0.15275672500000001</v>
      </c>
    </row>
    <row r="98" spans="3:56">
      <c r="C98" s="54">
        <v>0.88541666666666663</v>
      </c>
      <c r="D98" s="55">
        <v>9.3120934550000006E-2</v>
      </c>
      <c r="G98" s="56">
        <v>0.88541666666666663</v>
      </c>
      <c r="H98" s="57">
        <v>7.5167927780000005E-2</v>
      </c>
      <c r="K98" s="56">
        <v>0.88541666666666663</v>
      </c>
      <c r="L98" s="57">
        <v>4.3019903909999997E-2</v>
      </c>
      <c r="O98" s="56">
        <v>0.88541666666666663</v>
      </c>
      <c r="P98" s="57">
        <v>3.6794567059999998E-2</v>
      </c>
      <c r="S98" s="56">
        <v>0.88541666666666663</v>
      </c>
      <c r="T98" s="57">
        <v>6.7030052000000007E-2</v>
      </c>
      <c r="W98" s="56">
        <v>0.88541666666666663</v>
      </c>
      <c r="X98" s="57">
        <v>3.4084496999999998E-2</v>
      </c>
      <c r="Y98" s="58"/>
      <c r="AA98" s="56">
        <v>0.88541666666666663</v>
      </c>
      <c r="AB98" s="57">
        <v>0.5</v>
      </c>
      <c r="AE98" s="56">
        <v>0.88541666666666663</v>
      </c>
      <c r="AF98" s="57">
        <v>0.68691279999999999</v>
      </c>
      <c r="AG98" s="58"/>
      <c r="AI98" s="56">
        <v>0.88541666666666663</v>
      </c>
      <c r="AJ98" s="57">
        <v>0.12</v>
      </c>
      <c r="AM98" s="56">
        <v>0.88541666666666663</v>
      </c>
      <c r="AN98" s="57">
        <v>5.2028189000000002E-2</v>
      </c>
      <c r="AO98" s="58"/>
      <c r="AQ98" s="56">
        <v>0.88541666666666663</v>
      </c>
      <c r="AR98" s="57">
        <v>4.2541539999999996E-3</v>
      </c>
      <c r="AU98" s="56">
        <v>0.88541666666666663</v>
      </c>
      <c r="AV98" s="57">
        <v>3.8005869999999998E-3</v>
      </c>
      <c r="AY98" s="56">
        <v>0.88541666666666663</v>
      </c>
      <c r="AZ98" s="57">
        <v>0.192040402</v>
      </c>
      <c r="BC98" s="56">
        <v>0.88541666666666663</v>
      </c>
      <c r="BD98" s="57">
        <v>0.156896117</v>
      </c>
    </row>
    <row r="99" spans="3:56">
      <c r="C99" s="54">
        <v>0.89583333333333337</v>
      </c>
      <c r="D99" s="55">
        <v>9.2295765299999999E-2</v>
      </c>
      <c r="G99" s="56">
        <v>0.89583333333333337</v>
      </c>
      <c r="H99" s="57">
        <v>6.9883446170000002E-2</v>
      </c>
      <c r="K99" s="56">
        <v>0.89583333333333337</v>
      </c>
      <c r="L99" s="57">
        <v>4.103134294E-2</v>
      </c>
      <c r="O99" s="56">
        <v>0.89583333333333337</v>
      </c>
      <c r="P99" s="57">
        <v>3.818992643E-2</v>
      </c>
      <c r="S99" s="56">
        <v>0.89583333333333337</v>
      </c>
      <c r="T99" s="57">
        <v>5.8446416000000001E-2</v>
      </c>
      <c r="W99" s="56">
        <v>0.89583333333333337</v>
      </c>
      <c r="X99" s="57">
        <v>3.1643522E-2</v>
      </c>
      <c r="Y99" s="58"/>
      <c r="AA99" s="56">
        <v>0.89583333333333337</v>
      </c>
      <c r="AB99" s="57">
        <v>0.51</v>
      </c>
      <c r="AE99" s="56">
        <v>0.89583333333333337</v>
      </c>
      <c r="AF99" s="57">
        <v>0.6914264</v>
      </c>
      <c r="AG99" s="58"/>
      <c r="AI99" s="56">
        <v>0.89583333333333337</v>
      </c>
      <c r="AJ99" s="57">
        <v>0.11</v>
      </c>
      <c r="AM99" s="56">
        <v>0.89583333333333337</v>
      </c>
      <c r="AN99" s="57">
        <v>5.0228231999999998E-2</v>
      </c>
      <c r="AO99" s="58"/>
      <c r="AQ99" s="56">
        <v>0.89583333333333337</v>
      </c>
      <c r="AR99" s="57">
        <v>3.7442819999999998E-3</v>
      </c>
      <c r="AU99" s="56">
        <v>0.89583333333333337</v>
      </c>
      <c r="AV99" s="57">
        <v>2.9239489999999999E-3</v>
      </c>
      <c r="AY99" s="56">
        <v>0.89583333333333337</v>
      </c>
      <c r="AZ99" s="57">
        <v>0.20140899800000001</v>
      </c>
      <c r="BC99" s="56">
        <v>0.89583333333333337</v>
      </c>
      <c r="BD99" s="57">
        <v>0.164281338</v>
      </c>
    </row>
    <row r="100" spans="3:56">
      <c r="C100" s="54">
        <v>0.90625</v>
      </c>
      <c r="D100" s="55">
        <v>8.9030370080000004E-2</v>
      </c>
      <c r="G100" s="56">
        <v>0.90625</v>
      </c>
      <c r="H100" s="57">
        <v>6.8661091199999996E-2</v>
      </c>
      <c r="K100" s="56">
        <v>0.90625</v>
      </c>
      <c r="L100" s="57">
        <v>3.3924502400000001E-2</v>
      </c>
      <c r="O100" s="56">
        <v>0.90625</v>
      </c>
      <c r="P100" s="57">
        <v>4.0191963779999999E-2</v>
      </c>
      <c r="S100" s="56">
        <v>0.90625</v>
      </c>
      <c r="T100" s="57">
        <v>5.5226444E-2</v>
      </c>
      <c r="W100" s="56">
        <v>0.90625</v>
      </c>
      <c r="X100" s="57">
        <v>3.0893191E-2</v>
      </c>
      <c r="Y100" s="58"/>
      <c r="AA100" s="56">
        <v>0.90625</v>
      </c>
      <c r="AB100" s="57">
        <v>0.51</v>
      </c>
      <c r="AE100" s="56">
        <v>0.90625</v>
      </c>
      <c r="AF100" s="57">
        <v>0.69204600000000005</v>
      </c>
      <c r="AG100" s="58"/>
      <c r="AI100" s="56">
        <v>0.90625</v>
      </c>
      <c r="AJ100" s="57">
        <v>0.11</v>
      </c>
      <c r="AM100" s="56">
        <v>0.90625</v>
      </c>
      <c r="AN100" s="57">
        <v>4.7849684000000003E-2</v>
      </c>
      <c r="AO100" s="58"/>
      <c r="AQ100" s="56">
        <v>0.90625</v>
      </c>
      <c r="AR100" s="57">
        <v>2.999804E-3</v>
      </c>
      <c r="AU100" s="56">
        <v>0.90625</v>
      </c>
      <c r="AV100" s="57">
        <v>2.9833820000000001E-3</v>
      </c>
      <c r="AY100" s="56">
        <v>0.90625</v>
      </c>
      <c r="AZ100" s="57">
        <v>0.217903031</v>
      </c>
      <c r="BC100" s="56">
        <v>0.90625</v>
      </c>
      <c r="BD100" s="57">
        <v>0.182592218</v>
      </c>
    </row>
    <row r="101" spans="3:56">
      <c r="C101" s="54">
        <v>0.91666666666666663</v>
      </c>
      <c r="D101" s="55">
        <v>8.1810699589999994E-2</v>
      </c>
      <c r="G101" s="56">
        <v>0.91666666666666663</v>
      </c>
      <c r="H101" s="57">
        <v>6.7268235979999993E-2</v>
      </c>
      <c r="K101" s="56">
        <v>0.91666666666666663</v>
      </c>
      <c r="L101" s="57">
        <v>3.2555479300000002E-2</v>
      </c>
      <c r="O101" s="56">
        <v>0.91666666666666663</v>
      </c>
      <c r="P101" s="57">
        <v>3.9071873229999998E-2</v>
      </c>
      <c r="S101" s="56">
        <v>0.91666666666666663</v>
      </c>
      <c r="T101" s="57">
        <v>5.1919798000000003E-2</v>
      </c>
      <c r="W101" s="56">
        <v>0.91666666666666663</v>
      </c>
      <c r="X101" s="57">
        <v>3.0103102E-2</v>
      </c>
      <c r="Y101" s="58"/>
      <c r="AA101" s="56">
        <v>0.91666666666666663</v>
      </c>
      <c r="AB101" s="57">
        <v>0.51</v>
      </c>
      <c r="AE101" s="56">
        <v>0.91666666666666663</v>
      </c>
      <c r="AF101" s="57">
        <v>0.69064400000000004</v>
      </c>
      <c r="AG101" s="58"/>
      <c r="AI101" s="56">
        <v>0.91666666666666663</v>
      </c>
      <c r="AJ101" s="57">
        <v>0.11</v>
      </c>
      <c r="AM101" s="56">
        <v>0.91666666666666663</v>
      </c>
      <c r="AN101" s="57">
        <v>4.6101768000000001E-2</v>
      </c>
      <c r="AO101" s="58"/>
      <c r="AQ101" s="56">
        <v>0.91666666666666663</v>
      </c>
      <c r="AR101" s="57">
        <v>3.042033E-3</v>
      </c>
      <c r="AU101" s="56">
        <v>0.91666666666666663</v>
      </c>
      <c r="AV101" s="57">
        <v>2.4750729999999999E-3</v>
      </c>
      <c r="AY101" s="56">
        <v>0.91666666666666663</v>
      </c>
      <c r="AZ101" s="57">
        <v>0.24822492400000001</v>
      </c>
      <c r="BC101" s="56">
        <v>0.91666666666666663</v>
      </c>
      <c r="BD101" s="57">
        <v>0.18814109900000001</v>
      </c>
    </row>
    <row r="102" spans="3:56">
      <c r="C102" s="54">
        <v>0.92708333333333337</v>
      </c>
      <c r="D102" s="55">
        <v>7.5815744059999995E-2</v>
      </c>
      <c r="G102" s="56">
        <v>0.92708333333333337</v>
      </c>
      <c r="H102" s="57">
        <v>5.9567237490000001E-2</v>
      </c>
      <c r="K102" s="56">
        <v>0.92708333333333337</v>
      </c>
      <c r="L102" s="57">
        <v>3.7963852669999999E-2</v>
      </c>
      <c r="O102" s="56">
        <v>0.92708333333333337</v>
      </c>
      <c r="P102" s="57">
        <v>3.4517260889999998E-2</v>
      </c>
      <c r="S102" s="56">
        <v>0.92708333333333337</v>
      </c>
      <c r="T102" s="57">
        <v>4.8013554E-2</v>
      </c>
      <c r="W102" s="56">
        <v>0.92708333333333337</v>
      </c>
      <c r="X102" s="57">
        <v>2.8650339E-2</v>
      </c>
      <c r="Y102" s="58"/>
      <c r="AA102" s="56">
        <v>0.92708333333333337</v>
      </c>
      <c r="AB102" s="57">
        <v>0.51</v>
      </c>
      <c r="AE102" s="56">
        <v>0.92708333333333337</v>
      </c>
      <c r="AF102" s="57">
        <v>0.68361159999999999</v>
      </c>
      <c r="AG102" s="58"/>
      <c r="AI102" s="56">
        <v>0.92708333333333337</v>
      </c>
      <c r="AJ102" s="57">
        <v>0.1</v>
      </c>
      <c r="AM102" s="56">
        <v>0.92708333333333337</v>
      </c>
      <c r="AN102" s="57">
        <v>4.3442632000000002E-2</v>
      </c>
      <c r="AO102" s="58"/>
      <c r="AQ102" s="56">
        <v>0.92708333333333337</v>
      </c>
      <c r="AR102" s="57">
        <v>2.3023259999999999E-3</v>
      </c>
      <c r="AU102" s="56">
        <v>0.92708333333333337</v>
      </c>
      <c r="AV102" s="57">
        <v>2.6041060000000001E-3</v>
      </c>
      <c r="AY102" s="56">
        <v>0.92708333333333337</v>
      </c>
      <c r="AZ102" s="57">
        <v>0.271389098</v>
      </c>
      <c r="BC102" s="56">
        <v>0.92708333333333337</v>
      </c>
      <c r="BD102" s="57">
        <v>0.18455857000000001</v>
      </c>
    </row>
    <row r="103" spans="3:56">
      <c r="C103" s="54">
        <v>0.9375</v>
      </c>
      <c r="D103" s="55">
        <v>6.764476304E-2</v>
      </c>
      <c r="G103" s="56">
        <v>0.9375</v>
      </c>
      <c r="H103" s="57">
        <v>5.9146687910000002E-2</v>
      </c>
      <c r="K103" s="56">
        <v>0.9375</v>
      </c>
      <c r="L103" s="57">
        <v>3.6665293979999999E-2</v>
      </c>
      <c r="O103" s="56">
        <v>0.9375</v>
      </c>
      <c r="P103" s="57">
        <v>3.0132880590000001E-2</v>
      </c>
      <c r="S103" s="56">
        <v>0.9375</v>
      </c>
      <c r="T103" s="57">
        <v>4.1989176000000003E-2</v>
      </c>
      <c r="W103" s="56">
        <v>0.9375</v>
      </c>
      <c r="X103" s="57">
        <v>2.5662188999999998E-2</v>
      </c>
      <c r="Y103" s="58"/>
      <c r="AA103" s="56">
        <v>0.9375</v>
      </c>
      <c r="AB103" s="57">
        <v>0.5</v>
      </c>
      <c r="AE103" s="56">
        <v>0.9375</v>
      </c>
      <c r="AF103" s="57">
        <v>0.67701520000000004</v>
      </c>
      <c r="AG103" s="58"/>
      <c r="AI103" s="56">
        <v>0.9375</v>
      </c>
      <c r="AJ103" s="57">
        <v>0.09</v>
      </c>
      <c r="AM103" s="56">
        <v>0.9375</v>
      </c>
      <c r="AN103" s="57">
        <v>4.0972947000000003E-2</v>
      </c>
      <c r="AO103" s="58"/>
      <c r="AQ103" s="56">
        <v>0.9375</v>
      </c>
      <c r="AR103" s="57">
        <v>3.29306E-3</v>
      </c>
      <c r="AU103" s="56">
        <v>0.9375</v>
      </c>
      <c r="AV103" s="57">
        <v>2.2467250000000002E-3</v>
      </c>
      <c r="AY103" s="56">
        <v>0.9375</v>
      </c>
      <c r="AZ103" s="57">
        <v>0.26721440800000001</v>
      </c>
      <c r="BC103" s="56">
        <v>0.9375</v>
      </c>
      <c r="BD103" s="57">
        <v>0.163832067</v>
      </c>
    </row>
    <row r="104" spans="3:56">
      <c r="C104" s="54">
        <v>0.94791666666666663</v>
      </c>
      <c r="D104" s="55">
        <v>6.7123324040000001E-2</v>
      </c>
      <c r="G104" s="56">
        <v>0.94791666666666663</v>
      </c>
      <c r="H104" s="57">
        <v>4.5883446170000002E-2</v>
      </c>
      <c r="K104" s="56">
        <v>0.94791666666666663</v>
      </c>
      <c r="L104" s="57">
        <v>3.5360329439999998E-2</v>
      </c>
      <c r="O104" s="56">
        <v>0.94791666666666663</v>
      </c>
      <c r="P104" s="57">
        <v>2.8434182230000001E-2</v>
      </c>
      <c r="S104" s="56">
        <v>0.94791666666666663</v>
      </c>
      <c r="T104" s="57">
        <v>4.0042765000000001E-2</v>
      </c>
      <c r="W104" s="56">
        <v>0.94791666666666663</v>
      </c>
      <c r="X104" s="57">
        <v>2.3050966999999999E-2</v>
      </c>
      <c r="Y104" s="58"/>
      <c r="AA104" s="56">
        <v>0.94791666666666663</v>
      </c>
      <c r="AB104" s="57">
        <v>0.5</v>
      </c>
      <c r="AE104" s="56">
        <v>0.94791666666666663</v>
      </c>
      <c r="AF104" s="57">
        <v>0.66509039999999997</v>
      </c>
      <c r="AG104" s="58"/>
      <c r="AI104" s="56">
        <v>0.94791666666666663</v>
      </c>
      <c r="AJ104" s="57">
        <v>0.09</v>
      </c>
      <c r="AM104" s="56">
        <v>0.94791666666666663</v>
      </c>
      <c r="AN104" s="57">
        <v>3.7766358E-2</v>
      </c>
      <c r="AO104" s="58"/>
      <c r="AQ104" s="56">
        <v>0.94791666666666663</v>
      </c>
      <c r="AR104" s="57">
        <v>2.5180839999999999E-3</v>
      </c>
      <c r="AU104" s="56">
        <v>0.94791666666666663</v>
      </c>
      <c r="AV104" s="57">
        <v>2.1779080000000001E-3</v>
      </c>
      <c r="AY104" s="56">
        <v>0.94791666666666663</v>
      </c>
      <c r="AZ104" s="57">
        <v>0.25394508399999999</v>
      </c>
      <c r="BC104" s="56">
        <v>0.94791666666666663</v>
      </c>
      <c r="BD104" s="57">
        <v>0.15208459499999999</v>
      </c>
    </row>
    <row r="105" spans="3:56">
      <c r="C105" s="54">
        <v>0.95833333333333337</v>
      </c>
      <c r="D105" s="55">
        <v>6.1972653660000002E-2</v>
      </c>
      <c r="G105" s="56">
        <v>0.95833333333333337</v>
      </c>
      <c r="H105" s="57">
        <v>4.5517567449999997E-2</v>
      </c>
      <c r="K105" s="56">
        <v>0.95833333333333337</v>
      </c>
      <c r="L105" s="57">
        <v>3.249599634E-2</v>
      </c>
      <c r="O105" s="56">
        <v>0.95833333333333337</v>
      </c>
      <c r="P105" s="57">
        <v>2.4905489530000002E-2</v>
      </c>
      <c r="S105" s="56">
        <v>0.95833333333333337</v>
      </c>
      <c r="T105" s="57">
        <v>3.6566894000000003E-2</v>
      </c>
      <c r="W105" s="56">
        <v>0.95833333333333337</v>
      </c>
      <c r="X105" s="57">
        <v>2.1031489E-2</v>
      </c>
      <c r="Y105" s="58"/>
      <c r="AA105" s="56">
        <v>0.95833333333333337</v>
      </c>
      <c r="AB105" s="57">
        <v>0.49</v>
      </c>
      <c r="AE105" s="56">
        <v>0.95833333333333337</v>
      </c>
      <c r="AF105" s="57">
        <v>0.65556680000000001</v>
      </c>
      <c r="AG105" s="58"/>
      <c r="AI105" s="56">
        <v>0.95833333333333337</v>
      </c>
      <c r="AJ105" s="57">
        <v>0.08</v>
      </c>
      <c r="AM105" s="56">
        <v>0.95833333333333337</v>
      </c>
      <c r="AN105" s="57">
        <v>3.4985200000000001E-2</v>
      </c>
      <c r="AO105" s="58"/>
      <c r="AQ105" s="56">
        <v>0.95833333333333337</v>
      </c>
      <c r="AR105" s="57">
        <v>2.1661779999999999E-3</v>
      </c>
      <c r="AU105" s="56">
        <v>0.95833333333333337</v>
      </c>
      <c r="AV105" s="57">
        <v>1.223851E-3</v>
      </c>
      <c r="AY105" s="56">
        <v>0.95833333333333337</v>
      </c>
      <c r="AZ105" s="57">
        <v>0.234741754</v>
      </c>
      <c r="BC105" s="56">
        <v>0.95833333333333337</v>
      </c>
      <c r="BD105" s="57">
        <v>0.14566790700000001</v>
      </c>
    </row>
    <row r="106" spans="3:56">
      <c r="C106" s="54">
        <v>0.96875</v>
      </c>
      <c r="D106" s="55">
        <v>6.5461303600000006E-2</v>
      </c>
      <c r="G106" s="56">
        <v>0.96875</v>
      </c>
      <c r="H106" s="57">
        <v>4.6536572409999998E-2</v>
      </c>
      <c r="K106" s="56">
        <v>0.96875</v>
      </c>
      <c r="L106" s="57">
        <v>2.5907115080000001E-2</v>
      </c>
      <c r="O106" s="56">
        <v>0.96875</v>
      </c>
      <c r="P106" s="57">
        <v>2.069949066E-2</v>
      </c>
      <c r="S106" s="56">
        <v>0.96875</v>
      </c>
      <c r="T106" s="57">
        <v>3.6758633999999998E-2</v>
      </c>
      <c r="W106" s="56">
        <v>0.96875</v>
      </c>
      <c r="X106" s="57">
        <v>2.0457359000000001E-2</v>
      </c>
      <c r="Y106" s="58"/>
      <c r="AA106" s="56">
        <v>0.96875</v>
      </c>
      <c r="AB106" s="57">
        <v>0.48</v>
      </c>
      <c r="AE106" s="56">
        <v>0.96875</v>
      </c>
      <c r="AF106" s="57">
        <v>0.64147200000000004</v>
      </c>
      <c r="AG106" s="58"/>
      <c r="AI106" s="56">
        <v>0.96875</v>
      </c>
      <c r="AJ106" s="57">
        <v>7.0000000000000007E-2</v>
      </c>
      <c r="AM106" s="56">
        <v>0.96875</v>
      </c>
      <c r="AN106" s="57">
        <v>3.1800610999999999E-2</v>
      </c>
      <c r="AO106" s="58"/>
      <c r="AQ106" s="56">
        <v>0.96875</v>
      </c>
      <c r="AR106" s="57">
        <v>1.9002929999999999E-3</v>
      </c>
      <c r="AU106" s="56">
        <v>0.96875</v>
      </c>
      <c r="AV106" s="57">
        <v>7.1163200000000002E-4</v>
      </c>
      <c r="AY106" s="56">
        <v>0.96875</v>
      </c>
      <c r="AZ106" s="57">
        <v>0.21177907300000001</v>
      </c>
      <c r="BC106" s="56">
        <v>0.96875</v>
      </c>
      <c r="BD106" s="57">
        <v>0.131862546</v>
      </c>
    </row>
    <row r="107" spans="3:56">
      <c r="C107" s="54">
        <v>0.97916666666666663</v>
      </c>
      <c r="D107" s="55">
        <v>6.1953466970000003E-2</v>
      </c>
      <c r="G107" s="56">
        <v>0.97916666666666663</v>
      </c>
      <c r="H107" s="57">
        <v>4.2071950089999997E-2</v>
      </c>
      <c r="K107" s="56">
        <v>0.97916666666666663</v>
      </c>
      <c r="L107" s="57">
        <v>1.9458247540000001E-2</v>
      </c>
      <c r="O107" s="56">
        <v>0.97916666666666663</v>
      </c>
      <c r="P107" s="57">
        <v>1.6848443689999999E-2</v>
      </c>
      <c r="S107" s="56">
        <v>0.97916666666666663</v>
      </c>
      <c r="T107" s="57">
        <v>3.3653385000000001E-2</v>
      </c>
      <c r="W107" s="56">
        <v>0.97916666666666663</v>
      </c>
      <c r="X107" s="57">
        <v>2.0078703999999999E-2</v>
      </c>
      <c r="Y107" s="58"/>
      <c r="AA107" s="56">
        <v>0.97916666666666663</v>
      </c>
      <c r="AB107" s="57">
        <v>0.47</v>
      </c>
      <c r="AE107" s="56">
        <v>0.97916666666666663</v>
      </c>
      <c r="AF107" s="57">
        <v>0.62542759999999997</v>
      </c>
      <c r="AG107" s="58"/>
      <c r="AI107" s="56">
        <v>0.97916666666666663</v>
      </c>
      <c r="AJ107" s="57">
        <v>7.0000000000000007E-2</v>
      </c>
      <c r="AM107" s="56">
        <v>0.97916666666666663</v>
      </c>
      <c r="AN107" s="57">
        <v>2.9037011000000001E-2</v>
      </c>
      <c r="AO107" s="58"/>
      <c r="AQ107" s="56">
        <v>0.97916666666666663</v>
      </c>
      <c r="AR107" s="57">
        <v>1.8095800000000001E-3</v>
      </c>
      <c r="AU107" s="56">
        <v>0.97916666666666663</v>
      </c>
      <c r="AV107" s="57">
        <v>7.3040099999999999E-4</v>
      </c>
      <c r="AY107" s="56">
        <v>0.97916666666666663</v>
      </c>
      <c r="AZ107" s="57">
        <v>0.16721656100000001</v>
      </c>
      <c r="BC107" s="56">
        <v>0.97916666666666663</v>
      </c>
      <c r="BD107" s="57">
        <v>0.121697526</v>
      </c>
    </row>
    <row r="108" spans="3:56">
      <c r="C108" s="54">
        <v>0.98958333333333337</v>
      </c>
      <c r="D108" s="55">
        <v>5.428063189E-2</v>
      </c>
      <c r="G108" s="56">
        <v>0.98958333333333337</v>
      </c>
      <c r="H108" s="57">
        <v>3.1064383380000001E-2</v>
      </c>
      <c r="K108" s="56">
        <v>0.98958333333333337</v>
      </c>
      <c r="L108" s="57">
        <v>1.451567147E-2</v>
      </c>
      <c r="O108" s="56">
        <v>0.98958333333333337</v>
      </c>
      <c r="P108" s="57">
        <v>1.4329371820000001E-2</v>
      </c>
      <c r="S108" s="56">
        <v>0.98958333333333337</v>
      </c>
      <c r="T108" s="57">
        <v>3.2599668999999998E-2</v>
      </c>
      <c r="W108" s="56">
        <v>0.98958333333333337</v>
      </c>
      <c r="X108" s="57">
        <v>1.7659073000000001E-2</v>
      </c>
      <c r="Y108" s="58"/>
      <c r="AA108" s="56">
        <v>0.98958333333333337</v>
      </c>
      <c r="AB108" s="57">
        <v>0.46</v>
      </c>
      <c r="AE108" s="56">
        <v>0.98958333333333337</v>
      </c>
      <c r="AF108" s="57">
        <v>0.60858239999999997</v>
      </c>
      <c r="AG108" s="58"/>
      <c r="AI108" s="56">
        <v>0.98958333333333337</v>
      </c>
      <c r="AJ108" s="57">
        <v>0.06</v>
      </c>
      <c r="AM108" s="56">
        <v>0.98958333333333337</v>
      </c>
      <c r="AN108" s="57">
        <v>2.6438547E-2</v>
      </c>
      <c r="AO108" s="58"/>
      <c r="AQ108" s="56">
        <v>0.98958333333333337</v>
      </c>
      <c r="AR108" s="57">
        <v>1.403715E-3</v>
      </c>
      <c r="AU108" s="56">
        <v>0.98958333333333337</v>
      </c>
      <c r="AV108" s="57">
        <v>9.6187699999999998E-4</v>
      </c>
      <c r="AY108" s="56">
        <v>0.98958333333333337</v>
      </c>
      <c r="AZ108" s="57">
        <v>0.14368135700000001</v>
      </c>
      <c r="BC108" s="56">
        <v>0.98958333333333337</v>
      </c>
      <c r="BD108" s="57">
        <v>0.108999833</v>
      </c>
    </row>
    <row r="109" spans="3:56">
      <c r="C109" s="48"/>
      <c r="D109" s="48"/>
      <c r="E109" s="59"/>
      <c r="K109" s="49"/>
      <c r="L109" s="49"/>
      <c r="O109" s="49"/>
      <c r="P109" s="49"/>
    </row>
    <row r="110" spans="3:56">
      <c r="C110" s="48"/>
      <c r="D110" s="48"/>
      <c r="E110" s="59"/>
      <c r="K110" s="49"/>
      <c r="L110" s="49"/>
      <c r="O110" s="49"/>
      <c r="P110" s="49"/>
    </row>
    <row r="111" spans="3:56">
      <c r="C111" s="48"/>
      <c r="D111" s="48"/>
      <c r="E111" s="59"/>
      <c r="K111" s="49"/>
      <c r="L111" s="49"/>
      <c r="O111" s="49"/>
      <c r="P111" s="49"/>
    </row>
    <row r="112" spans="3:56">
      <c r="C112" s="48"/>
      <c r="D112" s="48"/>
      <c r="E112" s="59"/>
      <c r="K112" s="49"/>
      <c r="L112" s="49"/>
      <c r="O112" s="49"/>
      <c r="P112" s="49"/>
    </row>
    <row r="113" spans="3:16">
      <c r="C113" s="48"/>
      <c r="D113" s="48"/>
      <c r="E113" s="59"/>
      <c r="K113" s="49"/>
      <c r="L113" s="49"/>
      <c r="O113" s="49"/>
      <c r="P113" s="49"/>
    </row>
    <row r="114" spans="3:16">
      <c r="C114" s="48"/>
      <c r="D114" s="48"/>
      <c r="E114" s="59"/>
      <c r="K114" s="49"/>
      <c r="L114" s="49"/>
      <c r="O114" s="49"/>
      <c r="P114" s="49"/>
    </row>
    <row r="115" spans="3:16">
      <c r="C115" s="48"/>
      <c r="D115" s="48"/>
      <c r="E115" s="59"/>
      <c r="K115" s="49"/>
      <c r="L115" s="49"/>
      <c r="O115" s="49"/>
      <c r="P115" s="49"/>
    </row>
    <row r="116" spans="3:16">
      <c r="C116" s="48"/>
      <c r="D116" s="48"/>
      <c r="E116" s="59"/>
      <c r="K116" s="49"/>
      <c r="L116" s="49"/>
      <c r="O116" s="49"/>
      <c r="P116" s="49"/>
    </row>
    <row r="117" spans="3:16">
      <c r="C117" s="48"/>
      <c r="D117" s="48"/>
      <c r="E117" s="59"/>
      <c r="K117" s="49"/>
      <c r="L117" s="49"/>
      <c r="O117" s="49"/>
      <c r="P117" s="49"/>
    </row>
    <row r="118" spans="3:16">
      <c r="C118" s="48"/>
      <c r="D118" s="48"/>
      <c r="E118" s="59"/>
      <c r="K118" s="49"/>
      <c r="L118" s="49"/>
      <c r="O118" s="49"/>
      <c r="P118" s="49"/>
    </row>
    <row r="119" spans="3:16">
      <c r="C119" s="48"/>
      <c r="D119" s="48"/>
      <c r="E119" s="59"/>
      <c r="K119" s="49"/>
      <c r="L119" s="49"/>
      <c r="O119" s="49"/>
      <c r="P119" s="49"/>
    </row>
    <row r="120" spans="3:16">
      <c r="C120" s="48"/>
      <c r="D120" s="48"/>
      <c r="E120" s="59"/>
      <c r="K120" s="49"/>
      <c r="L120" s="49"/>
      <c r="O120" s="49"/>
      <c r="P120" s="49"/>
    </row>
    <row r="121" spans="3:16">
      <c r="C121" s="48"/>
      <c r="D121" s="48"/>
      <c r="E121" s="59"/>
      <c r="K121" s="49"/>
      <c r="L121" s="49"/>
      <c r="O121" s="49"/>
      <c r="P121" s="49"/>
    </row>
    <row r="122" spans="3:16">
      <c r="C122" s="48"/>
      <c r="D122" s="48"/>
      <c r="E122" s="59"/>
      <c r="K122" s="49"/>
      <c r="L122" s="49"/>
      <c r="O122" s="49"/>
      <c r="P122" s="49"/>
    </row>
    <row r="123" spans="3:16">
      <c r="C123" s="48"/>
      <c r="D123" s="48"/>
      <c r="E123" s="59"/>
      <c r="K123" s="49"/>
      <c r="L123" s="49"/>
      <c r="O123" s="49"/>
      <c r="P123" s="49"/>
    </row>
    <row r="124" spans="3:16">
      <c r="C124" s="48"/>
      <c r="D124" s="48"/>
      <c r="E124" s="59"/>
      <c r="K124" s="49"/>
      <c r="L124" s="49"/>
      <c r="O124" s="49"/>
      <c r="P124" s="49"/>
    </row>
    <row r="125" spans="3:16">
      <c r="C125" s="48"/>
      <c r="D125" s="48"/>
      <c r="E125" s="59"/>
      <c r="K125" s="49"/>
      <c r="L125" s="49"/>
      <c r="O125" s="49"/>
      <c r="P125" s="49"/>
    </row>
    <row r="126" spans="3:16">
      <c r="C126" s="48"/>
      <c r="D126" s="48"/>
      <c r="E126" s="59"/>
      <c r="K126" s="49"/>
      <c r="L126" s="49"/>
      <c r="O126" s="49"/>
      <c r="P126" s="49"/>
    </row>
    <row r="127" spans="3:16">
      <c r="C127" s="48"/>
      <c r="D127" s="48"/>
      <c r="E127" s="59"/>
      <c r="K127" s="49"/>
      <c r="L127" s="49"/>
      <c r="O127" s="49"/>
      <c r="P127" s="49"/>
    </row>
    <row r="128" spans="3:16">
      <c r="C128" s="48"/>
      <c r="D128" s="48"/>
      <c r="E128" s="59"/>
      <c r="K128" s="49"/>
      <c r="L128" s="49"/>
      <c r="O128" s="49"/>
      <c r="P128" s="49"/>
    </row>
    <row r="129" spans="3:16">
      <c r="C129" s="48"/>
      <c r="D129" s="48"/>
      <c r="E129" s="59"/>
      <c r="K129" s="49"/>
      <c r="L129" s="49"/>
      <c r="O129" s="49"/>
      <c r="P129" s="49"/>
    </row>
    <row r="130" spans="3:16">
      <c r="C130" s="48"/>
      <c r="D130" s="48"/>
      <c r="E130" s="59"/>
      <c r="K130" s="49"/>
      <c r="L130" s="49"/>
      <c r="O130" s="49"/>
      <c r="P130" s="49"/>
    </row>
    <row r="131" spans="3:16">
      <c r="C131" s="48"/>
      <c r="D131" s="48"/>
      <c r="E131" s="59"/>
      <c r="K131" s="49"/>
      <c r="L131" s="49"/>
      <c r="O131" s="49"/>
      <c r="P131" s="49"/>
    </row>
    <row r="132" spans="3:16">
      <c r="C132" s="48"/>
      <c r="D132" s="48"/>
      <c r="E132" s="59"/>
      <c r="K132" s="49"/>
      <c r="L132" s="49"/>
      <c r="O132" s="49"/>
      <c r="P132" s="49"/>
    </row>
    <row r="133" spans="3:16">
      <c r="C133" s="48"/>
      <c r="D133" s="48"/>
      <c r="E133" s="59"/>
      <c r="K133" s="49"/>
      <c r="L133" s="49"/>
      <c r="O133" s="49"/>
      <c r="P133" s="49"/>
    </row>
    <row r="134" spans="3:16">
      <c r="C134" s="48"/>
      <c r="D134" s="48"/>
      <c r="E134" s="59"/>
      <c r="K134" s="49"/>
      <c r="L134" s="49"/>
      <c r="O134" s="49"/>
      <c r="P134" s="49"/>
    </row>
    <row r="135" spans="3:16">
      <c r="C135" s="48"/>
      <c r="D135" s="48"/>
      <c r="E135" s="59"/>
      <c r="K135" s="49"/>
      <c r="L135" s="49"/>
      <c r="O135" s="49"/>
      <c r="P135" s="49"/>
    </row>
    <row r="136" spans="3:16">
      <c r="C136" s="48"/>
      <c r="D136" s="48"/>
      <c r="E136" s="59"/>
      <c r="K136" s="49"/>
      <c r="L136" s="49"/>
      <c r="O136" s="49"/>
      <c r="P136" s="49"/>
    </row>
    <row r="137" spans="3:16">
      <c r="C137" s="48"/>
      <c r="D137" s="48"/>
      <c r="E137" s="59"/>
      <c r="K137" s="49"/>
      <c r="L137" s="49"/>
      <c r="O137" s="49"/>
      <c r="P137" s="49"/>
    </row>
    <row r="138" spans="3:16">
      <c r="C138" s="48"/>
      <c r="D138" s="48"/>
      <c r="E138" s="59"/>
      <c r="K138" s="49"/>
      <c r="L138" s="49"/>
      <c r="O138" s="49"/>
      <c r="P138" s="49"/>
    </row>
    <row r="139" spans="3:16">
      <c r="C139" s="48"/>
      <c r="D139" s="48"/>
      <c r="E139" s="59"/>
      <c r="K139" s="49"/>
      <c r="L139" s="49"/>
      <c r="O139" s="49"/>
      <c r="P139" s="49"/>
    </row>
    <row r="140" spans="3:16">
      <c r="C140" s="48"/>
      <c r="D140" s="48"/>
      <c r="E140" s="59"/>
      <c r="K140" s="49"/>
      <c r="L140" s="49"/>
      <c r="O140" s="49"/>
      <c r="P140" s="49"/>
    </row>
    <row r="141" spans="3:16">
      <c r="C141" s="48"/>
      <c r="D141" s="48"/>
      <c r="E141" s="59"/>
      <c r="K141" s="49"/>
      <c r="L141" s="49"/>
      <c r="O141" s="49"/>
      <c r="P141" s="49"/>
    </row>
    <row r="142" spans="3:16">
      <c r="C142" s="48"/>
      <c r="D142" s="48"/>
      <c r="E142" s="59"/>
      <c r="K142" s="49"/>
      <c r="L142" s="49"/>
      <c r="O142" s="49"/>
      <c r="P142" s="49"/>
    </row>
    <row r="143" spans="3:16">
      <c r="C143" s="48"/>
      <c r="D143" s="48"/>
      <c r="E143" s="59"/>
      <c r="K143" s="49"/>
      <c r="L143" s="49"/>
      <c r="O143" s="49"/>
      <c r="P143" s="49"/>
    </row>
    <row r="144" spans="3:16">
      <c r="C144" s="48"/>
      <c r="D144" s="48"/>
      <c r="E144" s="59"/>
      <c r="K144" s="49"/>
      <c r="L144" s="49"/>
      <c r="O144" s="49"/>
      <c r="P144" s="49"/>
    </row>
    <row r="145" spans="3:16">
      <c r="C145" s="48"/>
      <c r="D145" s="48"/>
      <c r="E145" s="59"/>
      <c r="K145" s="49"/>
      <c r="L145" s="49"/>
      <c r="O145" s="49"/>
      <c r="P145" s="49"/>
    </row>
    <row r="146" spans="3:16">
      <c r="C146" s="48"/>
      <c r="D146" s="48"/>
      <c r="E146" s="59"/>
      <c r="K146" s="49"/>
      <c r="L146" s="49"/>
      <c r="O146" s="49"/>
      <c r="P146" s="49"/>
    </row>
    <row r="147" spans="3:16">
      <c r="C147" s="48"/>
      <c r="D147" s="48"/>
      <c r="E147" s="59"/>
      <c r="K147" s="49"/>
      <c r="L147" s="49"/>
      <c r="O147" s="49"/>
      <c r="P147" s="49"/>
    </row>
    <row r="148" spans="3:16">
      <c r="C148" s="48"/>
      <c r="D148" s="48"/>
      <c r="E148" s="59"/>
      <c r="K148" s="49"/>
      <c r="L148" s="49"/>
      <c r="O148" s="49"/>
      <c r="P148" s="49"/>
    </row>
    <row r="149" spans="3:16">
      <c r="C149" s="48"/>
      <c r="D149" s="48"/>
      <c r="E149" s="59"/>
      <c r="K149" s="49"/>
      <c r="L149" s="49"/>
      <c r="O149" s="49"/>
      <c r="P149" s="49"/>
    </row>
    <row r="150" spans="3:16">
      <c r="C150" s="48"/>
      <c r="D150" s="48"/>
      <c r="E150" s="59"/>
      <c r="K150" s="49"/>
      <c r="L150" s="49"/>
      <c r="O150" s="49"/>
      <c r="P150" s="49"/>
    </row>
    <row r="151" spans="3:16">
      <c r="C151" s="48"/>
      <c r="D151" s="48"/>
      <c r="E151" s="59"/>
      <c r="K151" s="49"/>
      <c r="L151" s="49"/>
      <c r="O151" s="49"/>
      <c r="P151" s="49"/>
    </row>
    <row r="152" spans="3:16">
      <c r="C152" s="48"/>
      <c r="D152" s="48"/>
      <c r="E152" s="59"/>
      <c r="K152" s="49"/>
      <c r="L152" s="49"/>
      <c r="O152" s="49"/>
      <c r="P152" s="49"/>
    </row>
    <row r="153" spans="3:16">
      <c r="C153" s="48"/>
      <c r="D153" s="48"/>
      <c r="E153" s="59"/>
      <c r="K153" s="49"/>
      <c r="L153" s="49"/>
      <c r="O153" s="49"/>
      <c r="P153" s="49"/>
    </row>
    <row r="154" spans="3:16">
      <c r="C154" s="48"/>
      <c r="D154" s="48"/>
      <c r="E154" s="59"/>
      <c r="K154" s="49"/>
      <c r="L154" s="49"/>
      <c r="O154" s="49"/>
      <c r="P154" s="49"/>
    </row>
    <row r="155" spans="3:16">
      <c r="C155" s="48"/>
      <c r="D155" s="48"/>
      <c r="E155" s="59"/>
      <c r="K155" s="49"/>
      <c r="L155" s="49"/>
      <c r="O155" s="49"/>
      <c r="P155" s="49"/>
    </row>
    <row r="156" spans="3:16">
      <c r="C156" s="48"/>
      <c r="D156" s="48"/>
      <c r="E156" s="59"/>
      <c r="K156" s="49"/>
      <c r="L156" s="49"/>
      <c r="O156" s="49"/>
      <c r="P156" s="49"/>
    </row>
    <row r="157" spans="3:16">
      <c r="C157" s="48"/>
      <c r="D157" s="48"/>
      <c r="E157" s="59"/>
      <c r="K157" s="49"/>
      <c r="L157" s="49"/>
      <c r="O157" s="49"/>
      <c r="P157" s="49"/>
    </row>
    <row r="158" spans="3:16">
      <c r="C158" s="48"/>
      <c r="D158" s="48"/>
      <c r="E158" s="59"/>
      <c r="K158" s="49"/>
      <c r="L158" s="49"/>
      <c r="O158" s="49"/>
      <c r="P158" s="49"/>
    </row>
    <row r="159" spans="3:16">
      <c r="C159" s="48"/>
      <c r="D159" s="48"/>
      <c r="E159" s="59"/>
      <c r="K159" s="49"/>
      <c r="L159" s="49"/>
      <c r="O159" s="49"/>
      <c r="P159" s="49"/>
    </row>
    <row r="160" spans="3:16">
      <c r="C160" s="48"/>
      <c r="D160" s="48"/>
      <c r="E160" s="59"/>
      <c r="K160" s="49"/>
      <c r="L160" s="49"/>
      <c r="O160" s="49"/>
      <c r="P160" s="49"/>
    </row>
    <row r="161" spans="3:16">
      <c r="C161" s="48"/>
      <c r="D161" s="48"/>
      <c r="E161" s="59"/>
      <c r="K161" s="49"/>
      <c r="L161" s="49"/>
      <c r="O161" s="49"/>
      <c r="P161" s="49"/>
    </row>
    <row r="162" spans="3:16">
      <c r="C162" s="48"/>
      <c r="D162" s="48"/>
      <c r="E162" s="59"/>
      <c r="K162" s="49"/>
      <c r="L162" s="49"/>
      <c r="O162" s="49"/>
      <c r="P162" s="49"/>
    </row>
    <row r="163" spans="3:16">
      <c r="C163" s="48"/>
      <c r="D163" s="48"/>
      <c r="E163" s="59"/>
      <c r="K163" s="49"/>
      <c r="L163" s="49"/>
      <c r="O163" s="49"/>
      <c r="P163" s="49"/>
    </row>
    <row r="164" spans="3:16">
      <c r="C164" s="48"/>
      <c r="D164" s="48"/>
      <c r="E164" s="59"/>
      <c r="K164" s="49"/>
      <c r="L164" s="49"/>
      <c r="O164" s="49"/>
      <c r="P164" s="49"/>
    </row>
    <row r="165" spans="3:16">
      <c r="C165" s="48"/>
      <c r="D165" s="48"/>
      <c r="E165" s="59"/>
      <c r="K165" s="49"/>
      <c r="L165" s="49"/>
      <c r="O165" s="49"/>
      <c r="P165" s="49"/>
    </row>
    <row r="166" spans="3:16">
      <c r="C166" s="48"/>
      <c r="D166" s="48"/>
      <c r="E166" s="59"/>
      <c r="K166" s="49"/>
      <c r="L166" s="49"/>
      <c r="O166" s="49"/>
      <c r="P166" s="49"/>
    </row>
    <row r="167" spans="3:16">
      <c r="C167" s="48"/>
      <c r="D167" s="48"/>
      <c r="E167" s="59"/>
      <c r="K167" s="49"/>
      <c r="L167" s="49"/>
      <c r="O167" s="49"/>
      <c r="P167" s="49"/>
    </row>
    <row r="168" spans="3:16">
      <c r="C168" s="48"/>
      <c r="D168" s="48"/>
      <c r="E168" s="59"/>
      <c r="K168" s="49"/>
      <c r="L168" s="49"/>
      <c r="O168" s="49"/>
      <c r="P168" s="49"/>
    </row>
    <row r="169" spans="3:16">
      <c r="C169" s="48"/>
      <c r="D169" s="48"/>
      <c r="E169" s="59"/>
      <c r="K169" s="49"/>
      <c r="L169" s="49"/>
      <c r="O169" s="49"/>
      <c r="P169" s="49"/>
    </row>
    <row r="170" spans="3:16">
      <c r="C170" s="48"/>
      <c r="D170" s="48"/>
      <c r="E170" s="59"/>
      <c r="K170" s="49"/>
      <c r="L170" s="49"/>
      <c r="O170" s="49"/>
      <c r="P170" s="49"/>
    </row>
    <row r="171" spans="3:16">
      <c r="C171" s="48"/>
      <c r="D171" s="48"/>
      <c r="E171" s="59"/>
      <c r="K171" s="49"/>
      <c r="L171" s="49"/>
      <c r="O171" s="49"/>
      <c r="P171" s="49"/>
    </row>
    <row r="172" spans="3:16">
      <c r="C172" s="48"/>
      <c r="D172" s="48"/>
      <c r="E172" s="59"/>
      <c r="K172" s="49"/>
      <c r="L172" s="49"/>
      <c r="O172" s="49"/>
      <c r="P172" s="49"/>
    </row>
    <row r="173" spans="3:16">
      <c r="C173" s="48"/>
      <c r="D173" s="48"/>
      <c r="E173" s="59"/>
      <c r="K173" s="49"/>
      <c r="L173" s="49"/>
      <c r="O173" s="49"/>
      <c r="P173" s="49"/>
    </row>
    <row r="174" spans="3:16">
      <c r="C174" s="48"/>
      <c r="D174" s="48"/>
      <c r="E174" s="59"/>
      <c r="K174" s="49"/>
      <c r="L174" s="49"/>
      <c r="O174" s="49"/>
      <c r="P174" s="49"/>
    </row>
    <row r="175" spans="3:16">
      <c r="C175" s="48"/>
      <c r="D175" s="48"/>
      <c r="E175" s="59"/>
      <c r="K175" s="49"/>
      <c r="L175" s="49"/>
      <c r="O175" s="49"/>
      <c r="P175" s="49"/>
    </row>
    <row r="176" spans="3:16">
      <c r="C176" s="48"/>
      <c r="D176" s="48"/>
      <c r="E176" s="59"/>
      <c r="K176" s="49"/>
      <c r="L176" s="49"/>
      <c r="O176" s="49"/>
      <c r="P176" s="49"/>
    </row>
    <row r="177" spans="3:16">
      <c r="C177" s="48"/>
      <c r="D177" s="48"/>
      <c r="E177" s="59"/>
      <c r="K177" s="49"/>
      <c r="L177" s="49"/>
      <c r="O177" s="49"/>
      <c r="P177" s="49"/>
    </row>
    <row r="178" spans="3:16">
      <c r="C178" s="48"/>
      <c r="D178" s="48"/>
      <c r="E178" s="59"/>
      <c r="K178" s="49"/>
      <c r="L178" s="49"/>
      <c r="O178" s="49"/>
      <c r="P178" s="49"/>
    </row>
    <row r="179" spans="3:16">
      <c r="C179" s="48"/>
      <c r="D179" s="48"/>
      <c r="E179" s="59"/>
      <c r="K179" s="49"/>
      <c r="L179" s="49"/>
      <c r="O179" s="49"/>
      <c r="P179" s="49"/>
    </row>
    <row r="180" spans="3:16">
      <c r="C180" s="48"/>
      <c r="D180" s="48"/>
      <c r="E180" s="59"/>
      <c r="K180" s="49"/>
      <c r="L180" s="49"/>
      <c r="O180" s="49"/>
      <c r="P180" s="49"/>
    </row>
    <row r="181" spans="3:16">
      <c r="C181" s="48"/>
      <c r="D181" s="48"/>
      <c r="E181" s="59"/>
      <c r="K181" s="49"/>
      <c r="L181" s="49"/>
      <c r="O181" s="49"/>
      <c r="P181" s="49"/>
    </row>
    <row r="182" spans="3:16">
      <c r="C182" s="48"/>
      <c r="D182" s="48"/>
      <c r="E182" s="59"/>
      <c r="K182" s="49"/>
      <c r="L182" s="49"/>
      <c r="O182" s="49"/>
      <c r="P182" s="49"/>
    </row>
    <row r="183" spans="3:16">
      <c r="C183" s="48"/>
      <c r="D183" s="48"/>
      <c r="E183" s="59"/>
      <c r="K183" s="49"/>
      <c r="L183" s="49"/>
      <c r="O183" s="49"/>
      <c r="P183" s="49"/>
    </row>
    <row r="184" spans="3:16">
      <c r="C184" s="48"/>
      <c r="D184" s="48"/>
      <c r="E184" s="59"/>
      <c r="K184" s="49"/>
      <c r="L184" s="49"/>
      <c r="O184" s="49"/>
      <c r="P184" s="49"/>
    </row>
    <row r="185" spans="3:16">
      <c r="C185" s="48"/>
      <c r="D185" s="48"/>
      <c r="E185" s="59"/>
      <c r="K185" s="49"/>
      <c r="L185" s="49"/>
      <c r="O185" s="49"/>
      <c r="P185" s="49"/>
    </row>
    <row r="186" spans="3:16">
      <c r="C186" s="48"/>
      <c r="D186" s="48"/>
      <c r="E186" s="59"/>
      <c r="K186" s="49"/>
      <c r="L186" s="49"/>
      <c r="O186" s="49"/>
      <c r="P186" s="49"/>
    </row>
    <row r="187" spans="3:16">
      <c r="C187" s="48"/>
      <c r="D187" s="48"/>
      <c r="E187" s="59"/>
      <c r="K187" s="49"/>
      <c r="L187" s="49"/>
      <c r="O187" s="49"/>
      <c r="P187" s="49"/>
    </row>
    <row r="188" spans="3:16">
      <c r="C188" s="48"/>
      <c r="D188" s="48"/>
      <c r="E188" s="59"/>
      <c r="K188" s="49"/>
      <c r="L188" s="49"/>
      <c r="O188" s="49"/>
      <c r="P188" s="49"/>
    </row>
    <row r="189" spans="3:16">
      <c r="C189" s="48"/>
      <c r="D189" s="48"/>
      <c r="E189" s="59"/>
      <c r="K189" s="49"/>
      <c r="L189" s="49"/>
      <c r="O189" s="49"/>
      <c r="P189" s="49"/>
    </row>
    <row r="190" spans="3:16">
      <c r="C190" s="48"/>
      <c r="D190" s="48"/>
      <c r="E190" s="59"/>
      <c r="K190" s="49"/>
      <c r="L190" s="49"/>
      <c r="O190" s="49"/>
      <c r="P190" s="49"/>
    </row>
    <row r="191" spans="3:16">
      <c r="C191" s="48"/>
      <c r="D191" s="48"/>
      <c r="E191" s="59"/>
      <c r="K191" s="49"/>
      <c r="L191" s="49"/>
      <c r="O191" s="49"/>
      <c r="P191" s="49"/>
    </row>
    <row r="192" spans="3:16">
      <c r="C192" s="48"/>
      <c r="D192" s="48"/>
      <c r="E192" s="59"/>
      <c r="K192" s="49"/>
      <c r="L192" s="49"/>
      <c r="O192" s="49"/>
      <c r="P192" s="49"/>
    </row>
    <row r="193" spans="3:16">
      <c r="C193" s="48"/>
      <c r="D193" s="48"/>
      <c r="E193" s="59"/>
      <c r="K193" s="49"/>
      <c r="L193" s="49"/>
      <c r="O193" s="49"/>
      <c r="P193" s="49"/>
    </row>
    <row r="194" spans="3:16">
      <c r="C194" s="48"/>
      <c r="D194" s="48"/>
      <c r="E194" s="59"/>
      <c r="K194" s="49"/>
      <c r="L194" s="49"/>
      <c r="O194" s="49"/>
      <c r="P194" s="49"/>
    </row>
    <row r="195" spans="3:16">
      <c r="C195" s="48"/>
      <c r="D195" s="48"/>
      <c r="E195" s="59"/>
      <c r="K195" s="49"/>
      <c r="L195" s="49"/>
      <c r="O195" s="49"/>
      <c r="P195" s="49"/>
    </row>
    <row r="196" spans="3:16">
      <c r="C196" s="48"/>
      <c r="D196" s="48"/>
      <c r="E196" s="59"/>
      <c r="K196" s="49"/>
      <c r="L196" s="49"/>
      <c r="O196" s="49"/>
      <c r="P196" s="49"/>
    </row>
    <row r="197" spans="3:16">
      <c r="C197" s="48"/>
      <c r="D197" s="48"/>
      <c r="E197" s="59"/>
      <c r="K197" s="49"/>
      <c r="L197" s="49"/>
      <c r="O197" s="49"/>
      <c r="P197" s="49"/>
    </row>
    <row r="198" spans="3:16">
      <c r="C198" s="48"/>
      <c r="D198" s="48"/>
      <c r="E198" s="59"/>
      <c r="K198" s="49"/>
      <c r="L198" s="49"/>
      <c r="O198" s="49"/>
      <c r="P198" s="49"/>
    </row>
    <row r="199" spans="3:16">
      <c r="C199" s="48"/>
      <c r="D199" s="48"/>
      <c r="E199" s="59"/>
      <c r="K199" s="49"/>
      <c r="L199" s="49"/>
      <c r="O199" s="49"/>
      <c r="P199" s="49"/>
    </row>
    <row r="200" spans="3:16">
      <c r="C200" s="48"/>
      <c r="D200" s="48"/>
      <c r="E200" s="59"/>
      <c r="K200" s="49"/>
      <c r="L200" s="49"/>
      <c r="O200" s="49"/>
      <c r="P200" s="49"/>
    </row>
    <row r="201" spans="3:16">
      <c r="C201" s="48"/>
      <c r="D201" s="48"/>
      <c r="E201" s="59"/>
      <c r="K201" s="49"/>
      <c r="L201" s="49"/>
      <c r="O201" s="49"/>
      <c r="P201" s="49"/>
    </row>
    <row r="202" spans="3:16">
      <c r="C202" s="48"/>
      <c r="D202" s="48"/>
      <c r="E202" s="59"/>
      <c r="K202" s="49"/>
      <c r="L202" s="49"/>
      <c r="O202" s="49"/>
      <c r="P202" s="49"/>
    </row>
    <row r="203" spans="3:16">
      <c r="C203" s="48"/>
      <c r="D203" s="48"/>
      <c r="E203" s="59"/>
      <c r="K203" s="49"/>
      <c r="L203" s="49"/>
      <c r="O203" s="49"/>
      <c r="P203" s="49"/>
    </row>
    <row r="204" spans="3:16">
      <c r="C204" s="48"/>
      <c r="D204" s="48"/>
      <c r="E204" s="59"/>
      <c r="K204" s="49"/>
      <c r="L204" s="49"/>
      <c r="O204" s="49"/>
      <c r="P204" s="49"/>
    </row>
    <row r="205" spans="3:16">
      <c r="C205" s="48"/>
      <c r="D205" s="48"/>
      <c r="E205" s="59"/>
      <c r="K205" s="49"/>
      <c r="L205" s="49"/>
      <c r="O205" s="49"/>
      <c r="P205" s="49"/>
    </row>
    <row r="206" spans="3:16">
      <c r="C206" s="48"/>
      <c r="D206" s="48"/>
      <c r="E206" s="59"/>
      <c r="K206" s="49"/>
      <c r="L206" s="49"/>
      <c r="O206" s="49"/>
      <c r="P206" s="49"/>
    </row>
    <row r="207" spans="3:16">
      <c r="C207" s="48"/>
      <c r="D207" s="48"/>
      <c r="E207" s="59"/>
      <c r="K207" s="49"/>
      <c r="L207" s="49"/>
      <c r="O207" s="49"/>
      <c r="P207" s="49"/>
    </row>
    <row r="208" spans="3:16">
      <c r="C208" s="48"/>
      <c r="D208" s="48"/>
      <c r="E208" s="59"/>
      <c r="K208" s="49"/>
      <c r="L208" s="49"/>
      <c r="O208" s="49"/>
      <c r="P208" s="49"/>
    </row>
    <row r="209" spans="3:16">
      <c r="C209" s="48"/>
      <c r="D209" s="48"/>
      <c r="E209" s="59"/>
      <c r="K209" s="49"/>
      <c r="L209" s="49"/>
      <c r="O209" s="49"/>
      <c r="P209" s="49"/>
    </row>
    <row r="210" spans="3:16">
      <c r="C210" s="48"/>
      <c r="D210" s="48"/>
      <c r="E210" s="59"/>
      <c r="K210" s="49"/>
      <c r="L210" s="49"/>
      <c r="O210" s="49"/>
      <c r="P210" s="49"/>
    </row>
    <row r="211" spans="3:16">
      <c r="C211" s="48"/>
      <c r="D211" s="48"/>
      <c r="E211" s="59"/>
      <c r="K211" s="49"/>
      <c r="L211" s="49"/>
      <c r="O211" s="49"/>
      <c r="P211" s="49"/>
    </row>
    <row r="212" spans="3:16">
      <c r="C212" s="48"/>
      <c r="D212" s="48"/>
      <c r="E212" s="59"/>
      <c r="K212" s="49"/>
      <c r="L212" s="49"/>
      <c r="O212" s="49"/>
      <c r="P212" s="49"/>
    </row>
    <row r="213" spans="3:16">
      <c r="C213" s="48"/>
      <c r="D213" s="48"/>
      <c r="E213" s="59"/>
      <c r="K213" s="49"/>
      <c r="L213" s="49"/>
      <c r="O213" s="49"/>
      <c r="P213" s="49"/>
    </row>
    <row r="214" spans="3:16">
      <c r="C214" s="48"/>
      <c r="D214" s="48"/>
      <c r="E214" s="59"/>
      <c r="K214" s="49"/>
      <c r="L214" s="49"/>
      <c r="O214" s="49"/>
      <c r="P214" s="49"/>
    </row>
    <row r="215" spans="3:16">
      <c r="C215" s="48"/>
      <c r="D215" s="48"/>
      <c r="E215" s="59"/>
      <c r="K215" s="49"/>
      <c r="L215" s="49"/>
      <c r="O215" s="49"/>
      <c r="P215" s="49"/>
    </row>
    <row r="216" spans="3:16">
      <c r="C216" s="48"/>
      <c r="D216" s="48"/>
      <c r="E216" s="59"/>
      <c r="K216" s="49"/>
      <c r="L216" s="49"/>
      <c r="O216" s="49"/>
      <c r="P216" s="49"/>
    </row>
    <row r="217" spans="3:16">
      <c r="C217" s="48"/>
      <c r="D217" s="48"/>
      <c r="E217" s="59"/>
      <c r="K217" s="49"/>
      <c r="L217" s="49"/>
      <c r="O217" s="49"/>
      <c r="P217" s="49"/>
    </row>
    <row r="218" spans="3:16">
      <c r="C218" s="48"/>
      <c r="D218" s="48"/>
      <c r="E218" s="59"/>
      <c r="K218" s="49"/>
      <c r="L218" s="49"/>
      <c r="O218" s="49"/>
      <c r="P218" s="49"/>
    </row>
    <row r="219" spans="3:16">
      <c r="C219" s="48"/>
      <c r="D219" s="48"/>
      <c r="E219" s="59"/>
      <c r="K219" s="49"/>
      <c r="L219" s="49"/>
      <c r="O219" s="49"/>
      <c r="P219" s="49"/>
    </row>
    <row r="220" spans="3:16">
      <c r="C220" s="48"/>
      <c r="D220" s="48"/>
      <c r="E220" s="59"/>
      <c r="K220" s="49"/>
      <c r="L220" s="49"/>
      <c r="O220" s="49"/>
      <c r="P220" s="49"/>
    </row>
    <row r="221" spans="3:16">
      <c r="C221" s="48"/>
      <c r="D221" s="48"/>
      <c r="E221" s="59"/>
      <c r="K221" s="49"/>
      <c r="L221" s="49"/>
      <c r="O221" s="49"/>
      <c r="P221" s="49"/>
    </row>
    <row r="222" spans="3:16">
      <c r="C222" s="48"/>
      <c r="D222" s="48"/>
      <c r="E222" s="59"/>
      <c r="K222" s="49"/>
      <c r="L222" s="49"/>
      <c r="O222" s="49"/>
      <c r="P222" s="49"/>
    </row>
    <row r="223" spans="3:16">
      <c r="C223" s="48"/>
      <c r="D223" s="48"/>
      <c r="E223" s="59"/>
      <c r="K223" s="49"/>
      <c r="L223" s="49"/>
      <c r="O223" s="49"/>
      <c r="P223" s="49"/>
    </row>
    <row r="224" spans="3:16">
      <c r="C224" s="48"/>
      <c r="D224" s="48"/>
      <c r="E224" s="59"/>
      <c r="K224" s="49"/>
      <c r="L224" s="49"/>
      <c r="O224" s="49"/>
      <c r="P224" s="49"/>
    </row>
    <row r="225" spans="3:16">
      <c r="C225" s="48"/>
      <c r="D225" s="48"/>
      <c r="E225" s="59"/>
      <c r="K225" s="49"/>
      <c r="L225" s="49"/>
      <c r="O225" s="49"/>
      <c r="P225" s="49"/>
    </row>
    <row r="226" spans="3:16">
      <c r="C226" s="48"/>
      <c r="D226" s="48"/>
      <c r="E226" s="59"/>
      <c r="K226" s="49"/>
      <c r="L226" s="49"/>
      <c r="O226" s="49"/>
      <c r="P226" s="49"/>
    </row>
    <row r="227" spans="3:16">
      <c r="C227" s="48"/>
      <c r="D227" s="48"/>
      <c r="E227" s="59"/>
      <c r="K227" s="49"/>
      <c r="L227" s="49"/>
      <c r="O227" s="49"/>
      <c r="P227" s="49"/>
    </row>
    <row r="228" spans="3:16">
      <c r="C228" s="48"/>
      <c r="D228" s="48"/>
      <c r="E228" s="59"/>
      <c r="K228" s="49"/>
      <c r="L228" s="49"/>
      <c r="O228" s="49"/>
      <c r="P228" s="49"/>
    </row>
    <row r="229" spans="3:16">
      <c r="C229" s="48"/>
      <c r="D229" s="48"/>
      <c r="E229" s="59"/>
      <c r="K229" s="49"/>
      <c r="L229" s="49"/>
      <c r="O229" s="49"/>
      <c r="P229" s="49"/>
    </row>
    <row r="230" spans="3:16">
      <c r="C230" s="48"/>
      <c r="D230" s="48"/>
      <c r="E230" s="59"/>
      <c r="K230" s="49"/>
      <c r="L230" s="49"/>
      <c r="O230" s="49"/>
      <c r="P230" s="49"/>
    </row>
    <row r="231" spans="3:16">
      <c r="C231" s="48"/>
      <c r="D231" s="48"/>
      <c r="E231" s="59"/>
      <c r="K231" s="49"/>
      <c r="L231" s="49"/>
      <c r="O231" s="49"/>
      <c r="P231" s="49"/>
    </row>
    <row r="232" spans="3:16">
      <c r="C232" s="48"/>
      <c r="D232" s="48"/>
      <c r="E232" s="59"/>
      <c r="K232" s="49"/>
      <c r="L232" s="49"/>
      <c r="O232" s="49"/>
      <c r="P232" s="49"/>
    </row>
    <row r="233" spans="3:16">
      <c r="C233" s="48"/>
      <c r="D233" s="48"/>
      <c r="E233" s="59"/>
      <c r="K233" s="49"/>
      <c r="L233" s="49"/>
      <c r="O233" s="49"/>
      <c r="P233" s="49"/>
    </row>
    <row r="234" spans="3:16">
      <c r="C234" s="48"/>
      <c r="D234" s="48"/>
      <c r="E234" s="59"/>
      <c r="K234" s="49"/>
      <c r="L234" s="49"/>
      <c r="O234" s="49"/>
      <c r="P234" s="49"/>
    </row>
    <row r="235" spans="3:16">
      <c r="C235" s="48"/>
      <c r="D235" s="48"/>
      <c r="E235" s="59"/>
      <c r="K235" s="49"/>
      <c r="L235" s="49"/>
      <c r="O235" s="49"/>
      <c r="P235" s="49"/>
    </row>
    <row r="236" spans="3:16">
      <c r="C236" s="48"/>
      <c r="D236" s="48"/>
      <c r="E236" s="59"/>
      <c r="K236" s="49"/>
      <c r="L236" s="49"/>
      <c r="O236" s="49"/>
      <c r="P236" s="49"/>
    </row>
    <row r="237" spans="3:16">
      <c r="C237" s="48"/>
      <c r="D237" s="48"/>
      <c r="E237" s="59"/>
      <c r="K237" s="49"/>
      <c r="L237" s="49"/>
      <c r="O237" s="49"/>
      <c r="P237" s="49"/>
    </row>
    <row r="238" spans="3:16">
      <c r="C238" s="48"/>
      <c r="D238" s="48"/>
      <c r="E238" s="59"/>
      <c r="K238" s="49"/>
      <c r="L238" s="49"/>
      <c r="O238" s="49"/>
      <c r="P238" s="49"/>
    </row>
    <row r="239" spans="3:16">
      <c r="C239" s="48"/>
      <c r="D239" s="48"/>
      <c r="E239" s="59"/>
      <c r="K239" s="49"/>
      <c r="L239" s="49"/>
      <c r="O239" s="49"/>
      <c r="P239" s="49"/>
    </row>
    <row r="240" spans="3:16">
      <c r="C240" s="48"/>
      <c r="D240" s="48"/>
      <c r="E240" s="59"/>
      <c r="K240" s="49"/>
      <c r="L240" s="49"/>
      <c r="O240" s="49"/>
      <c r="P240" s="49"/>
    </row>
    <row r="241" spans="3:16">
      <c r="C241" s="48"/>
      <c r="D241" s="48"/>
      <c r="E241" s="59"/>
      <c r="K241" s="49"/>
      <c r="L241" s="49"/>
      <c r="O241" s="49"/>
      <c r="P241" s="49"/>
    </row>
    <row r="242" spans="3:16">
      <c r="C242" s="48"/>
      <c r="D242" s="48"/>
      <c r="E242" s="59"/>
      <c r="K242" s="49"/>
      <c r="L242" s="49"/>
      <c r="O242" s="49"/>
      <c r="P242" s="49"/>
    </row>
    <row r="243" spans="3:16">
      <c r="C243" s="48"/>
      <c r="D243" s="48"/>
      <c r="E243" s="59"/>
      <c r="K243" s="49"/>
      <c r="L243" s="49"/>
      <c r="O243" s="49"/>
      <c r="P243" s="49"/>
    </row>
    <row r="244" spans="3:16">
      <c r="C244" s="48"/>
      <c r="D244" s="48"/>
      <c r="E244" s="59"/>
      <c r="K244" s="49"/>
      <c r="L244" s="49"/>
      <c r="O244" s="49"/>
      <c r="P244" s="49"/>
    </row>
    <row r="245" spans="3:16">
      <c r="C245" s="48"/>
      <c r="D245" s="48"/>
      <c r="E245" s="59"/>
      <c r="K245" s="49"/>
      <c r="L245" s="49"/>
      <c r="O245" s="49"/>
      <c r="P245" s="49"/>
    </row>
    <row r="246" spans="3:16">
      <c r="C246" s="48"/>
      <c r="D246" s="48"/>
      <c r="E246" s="59"/>
      <c r="K246" s="49"/>
      <c r="L246" s="49"/>
      <c r="O246" s="49"/>
      <c r="P246" s="49"/>
    </row>
    <row r="247" spans="3:16">
      <c r="C247" s="48"/>
      <c r="D247" s="48"/>
      <c r="E247" s="59"/>
      <c r="K247" s="49"/>
      <c r="L247" s="49"/>
      <c r="O247" s="49"/>
      <c r="P247" s="49"/>
    </row>
    <row r="248" spans="3:16">
      <c r="C248" s="48"/>
      <c r="D248" s="48"/>
      <c r="E248" s="59"/>
      <c r="K248" s="49"/>
      <c r="L248" s="49"/>
      <c r="O248" s="49"/>
      <c r="P248" s="49"/>
    </row>
    <row r="249" spans="3:16">
      <c r="C249" s="48"/>
      <c r="D249" s="48"/>
      <c r="E249" s="59"/>
      <c r="K249" s="49"/>
      <c r="L249" s="49"/>
      <c r="O249" s="49"/>
      <c r="P249" s="49"/>
    </row>
    <row r="250" spans="3:16">
      <c r="C250" s="48"/>
      <c r="D250" s="48"/>
      <c r="E250" s="59"/>
      <c r="K250" s="49"/>
      <c r="L250" s="49"/>
      <c r="O250" s="49"/>
      <c r="P250" s="49"/>
    </row>
    <row r="251" spans="3:16">
      <c r="C251" s="48"/>
      <c r="D251" s="48"/>
      <c r="E251" s="59"/>
      <c r="K251" s="49"/>
      <c r="L251" s="49"/>
      <c r="O251" s="49"/>
      <c r="P251" s="49"/>
    </row>
    <row r="252" spans="3:16">
      <c r="C252" s="48"/>
      <c r="D252" s="48"/>
      <c r="E252" s="59"/>
      <c r="K252" s="49"/>
      <c r="L252" s="49"/>
      <c r="O252" s="49"/>
      <c r="P252" s="49"/>
    </row>
    <row r="253" spans="3:16">
      <c r="C253" s="48"/>
      <c r="D253" s="48"/>
      <c r="E253" s="59"/>
      <c r="K253" s="49"/>
      <c r="L253" s="49"/>
      <c r="O253" s="49"/>
      <c r="P253" s="49"/>
    </row>
    <row r="254" spans="3:16">
      <c r="C254" s="48"/>
      <c r="D254" s="48"/>
      <c r="E254" s="59"/>
      <c r="K254" s="49"/>
      <c r="L254" s="49"/>
      <c r="O254" s="49"/>
      <c r="P254" s="49"/>
    </row>
    <row r="255" spans="3:16">
      <c r="C255" s="48"/>
      <c r="D255" s="48"/>
      <c r="E255" s="59"/>
      <c r="K255" s="49"/>
      <c r="L255" s="49"/>
      <c r="O255" s="49"/>
      <c r="P255" s="49"/>
    </row>
    <row r="256" spans="3:16">
      <c r="C256" s="48"/>
      <c r="D256" s="48"/>
      <c r="E256" s="59"/>
      <c r="K256" s="49"/>
      <c r="L256" s="49"/>
      <c r="O256" s="49"/>
      <c r="P256" s="49"/>
    </row>
    <row r="257" spans="3:16">
      <c r="C257" s="48"/>
      <c r="D257" s="48"/>
      <c r="E257" s="59"/>
      <c r="K257" s="49"/>
      <c r="L257" s="49"/>
      <c r="O257" s="49"/>
      <c r="P257" s="49"/>
    </row>
    <row r="258" spans="3:16">
      <c r="C258" s="48"/>
      <c r="D258" s="48"/>
      <c r="E258" s="59"/>
      <c r="K258" s="49"/>
      <c r="L258" s="49"/>
      <c r="O258" s="49"/>
      <c r="P258" s="49"/>
    </row>
    <row r="259" spans="3:16">
      <c r="C259" s="48"/>
      <c r="D259" s="48"/>
      <c r="E259" s="59"/>
      <c r="K259" s="49"/>
      <c r="L259" s="49"/>
      <c r="O259" s="49"/>
      <c r="P259" s="49"/>
    </row>
    <row r="260" spans="3:16">
      <c r="C260" s="48"/>
      <c r="D260" s="48"/>
      <c r="E260" s="59"/>
      <c r="K260" s="49"/>
      <c r="L260" s="49"/>
      <c r="O260" s="49"/>
      <c r="P260" s="49"/>
    </row>
    <row r="261" spans="3:16">
      <c r="C261" s="48"/>
      <c r="D261" s="48"/>
      <c r="E261" s="59"/>
      <c r="K261" s="49"/>
      <c r="L261" s="49"/>
      <c r="O261" s="49"/>
      <c r="P261" s="49"/>
    </row>
    <row r="262" spans="3:16">
      <c r="C262" s="48"/>
      <c r="D262" s="48"/>
      <c r="E262" s="59"/>
      <c r="K262" s="49"/>
      <c r="L262" s="49"/>
      <c r="O262" s="49"/>
      <c r="P262" s="49"/>
    </row>
    <row r="263" spans="3:16">
      <c r="C263" s="48"/>
      <c r="D263" s="48"/>
      <c r="E263" s="59"/>
      <c r="K263" s="49"/>
      <c r="L263" s="49"/>
      <c r="O263" s="49"/>
      <c r="P263" s="49"/>
    </row>
    <row r="264" spans="3:16">
      <c r="C264" s="48"/>
      <c r="D264" s="48"/>
      <c r="E264" s="59"/>
      <c r="K264" s="49"/>
      <c r="L264" s="49"/>
      <c r="O264" s="49"/>
      <c r="P264" s="49"/>
    </row>
    <row r="265" spans="3:16">
      <c r="C265" s="48"/>
      <c r="D265" s="48"/>
      <c r="E265" s="59"/>
      <c r="K265" s="49"/>
      <c r="L265" s="49"/>
      <c r="O265" s="49"/>
      <c r="P265" s="49"/>
    </row>
    <row r="266" spans="3:16">
      <c r="C266" s="48"/>
      <c r="D266" s="48"/>
      <c r="E266" s="59"/>
      <c r="K266" s="49"/>
      <c r="L266" s="49"/>
      <c r="O266" s="49"/>
      <c r="P266" s="49"/>
    </row>
    <row r="267" spans="3:16">
      <c r="C267" s="48"/>
      <c r="D267" s="48"/>
      <c r="E267" s="59"/>
      <c r="K267" s="49"/>
      <c r="L267" s="49"/>
      <c r="O267" s="49"/>
      <c r="P267" s="49"/>
    </row>
    <row r="268" spans="3:16">
      <c r="C268" s="48"/>
      <c r="D268" s="48"/>
      <c r="E268" s="59"/>
      <c r="K268" s="49"/>
      <c r="L268" s="49"/>
      <c r="O268" s="49"/>
      <c r="P268" s="49"/>
    </row>
    <row r="269" spans="3:16">
      <c r="C269" s="48"/>
      <c r="D269" s="48"/>
      <c r="E269" s="59"/>
      <c r="K269" s="49"/>
      <c r="L269" s="49"/>
      <c r="O269" s="49"/>
      <c r="P269" s="49"/>
    </row>
    <row r="270" spans="3:16">
      <c r="C270" s="48"/>
      <c r="D270" s="48"/>
      <c r="E270" s="59"/>
      <c r="K270" s="49"/>
      <c r="L270" s="49"/>
      <c r="O270" s="49"/>
      <c r="P270" s="49"/>
    </row>
    <row r="271" spans="3:16">
      <c r="C271" s="48"/>
      <c r="D271" s="48"/>
      <c r="E271" s="59"/>
      <c r="K271" s="49"/>
      <c r="L271" s="49"/>
      <c r="O271" s="49"/>
      <c r="P271" s="49"/>
    </row>
    <row r="272" spans="3:16">
      <c r="C272" s="48"/>
      <c r="D272" s="48"/>
      <c r="E272" s="59"/>
      <c r="K272" s="49"/>
      <c r="L272" s="49"/>
      <c r="O272" s="49"/>
      <c r="P272" s="49"/>
    </row>
    <row r="273" spans="3:16">
      <c r="C273" s="48"/>
      <c r="D273" s="48"/>
      <c r="E273" s="59"/>
      <c r="K273" s="49"/>
      <c r="L273" s="49"/>
      <c r="O273" s="49"/>
      <c r="P273" s="49"/>
    </row>
    <row r="274" spans="3:16">
      <c r="C274" s="48"/>
      <c r="D274" s="48"/>
      <c r="E274" s="59"/>
      <c r="K274" s="49"/>
      <c r="L274" s="49"/>
      <c r="O274" s="49"/>
      <c r="P274" s="49"/>
    </row>
    <row r="275" spans="3:16">
      <c r="C275" s="48"/>
      <c r="D275" s="48"/>
      <c r="E275" s="59"/>
      <c r="K275" s="49"/>
      <c r="L275" s="49"/>
      <c r="O275" s="49"/>
      <c r="P275" s="49"/>
    </row>
    <row r="276" spans="3:16">
      <c r="C276" s="48"/>
      <c r="D276" s="48"/>
      <c r="E276" s="59"/>
      <c r="K276" s="49"/>
      <c r="L276" s="49"/>
      <c r="O276" s="49"/>
      <c r="P276" s="49"/>
    </row>
    <row r="277" spans="3:16">
      <c r="C277" s="48"/>
      <c r="D277" s="48"/>
      <c r="E277" s="59"/>
      <c r="K277" s="49"/>
      <c r="L277" s="49"/>
      <c r="O277" s="49"/>
      <c r="P277" s="49"/>
    </row>
    <row r="278" spans="3:16">
      <c r="C278" s="48"/>
      <c r="D278" s="48"/>
      <c r="E278" s="59"/>
      <c r="K278" s="49"/>
      <c r="L278" s="49"/>
      <c r="O278" s="49"/>
      <c r="P278" s="49"/>
    </row>
    <row r="279" spans="3:16">
      <c r="C279" s="48"/>
      <c r="D279" s="48"/>
      <c r="E279" s="59"/>
      <c r="K279" s="49"/>
      <c r="L279" s="49"/>
      <c r="O279" s="49"/>
      <c r="P279" s="49"/>
    </row>
    <row r="280" spans="3:16">
      <c r="C280" s="48"/>
      <c r="D280" s="48"/>
      <c r="E280" s="59"/>
      <c r="K280" s="49"/>
      <c r="L280" s="49"/>
      <c r="O280" s="49"/>
      <c r="P280" s="49"/>
    </row>
    <row r="281" spans="3:16">
      <c r="C281" s="48"/>
      <c r="D281" s="48"/>
      <c r="E281" s="59"/>
      <c r="K281" s="49"/>
      <c r="L281" s="49"/>
      <c r="O281" s="49"/>
      <c r="P281" s="49"/>
    </row>
    <row r="282" spans="3:16">
      <c r="C282" s="48"/>
      <c r="D282" s="48"/>
      <c r="E282" s="59"/>
      <c r="K282" s="49"/>
      <c r="L282" s="49"/>
      <c r="O282" s="49"/>
      <c r="P282" s="49"/>
    </row>
    <row r="283" spans="3:16">
      <c r="C283" s="48"/>
      <c r="D283" s="48"/>
      <c r="E283" s="59"/>
      <c r="K283" s="49"/>
      <c r="L283" s="49"/>
      <c r="O283" s="49"/>
      <c r="P283" s="49"/>
    </row>
    <row r="284" spans="3:16">
      <c r="C284" s="48"/>
      <c r="D284" s="48"/>
      <c r="E284" s="59"/>
      <c r="K284" s="49"/>
      <c r="L284" s="49"/>
      <c r="O284" s="49"/>
      <c r="P284" s="49"/>
    </row>
    <row r="285" spans="3:16">
      <c r="C285" s="48"/>
      <c r="D285" s="48"/>
      <c r="E285" s="59"/>
      <c r="K285" s="49"/>
      <c r="L285" s="49"/>
      <c r="O285" s="49"/>
      <c r="P285" s="49"/>
    </row>
    <row r="286" spans="3:16">
      <c r="C286" s="48"/>
      <c r="D286" s="48"/>
      <c r="E286" s="59"/>
      <c r="K286" s="49"/>
      <c r="L286" s="49"/>
      <c r="O286" s="49"/>
      <c r="P286" s="49"/>
    </row>
    <row r="287" spans="3:16">
      <c r="C287" s="48"/>
      <c r="D287" s="48"/>
      <c r="E287" s="59"/>
      <c r="K287" s="49"/>
      <c r="L287" s="49"/>
      <c r="O287" s="49"/>
      <c r="P287" s="49"/>
    </row>
    <row r="288" spans="3:16">
      <c r="C288" s="48"/>
      <c r="D288" s="48"/>
      <c r="E288" s="59"/>
      <c r="K288" s="49"/>
      <c r="L288" s="49"/>
      <c r="O288" s="49"/>
      <c r="P288" s="49"/>
    </row>
    <row r="289" spans="3:16">
      <c r="C289" s="48"/>
      <c r="D289" s="48"/>
      <c r="E289" s="59"/>
      <c r="K289" s="49"/>
      <c r="L289" s="49"/>
      <c r="O289" s="49"/>
      <c r="P289" s="49"/>
    </row>
    <row r="290" spans="3:16">
      <c r="C290" s="48"/>
      <c r="D290" s="48"/>
      <c r="E290" s="59"/>
      <c r="K290" s="49"/>
      <c r="L290" s="49"/>
      <c r="O290" s="49"/>
      <c r="P290" s="49"/>
    </row>
    <row r="291" spans="3:16">
      <c r="C291" s="48"/>
      <c r="D291" s="48"/>
      <c r="E291" s="59"/>
      <c r="K291" s="49"/>
      <c r="L291" s="49"/>
      <c r="O291" s="49"/>
      <c r="P291" s="49"/>
    </row>
    <row r="292" spans="3:16">
      <c r="C292" s="48"/>
      <c r="D292" s="48"/>
      <c r="E292" s="59"/>
      <c r="K292" s="49"/>
      <c r="L292" s="49"/>
      <c r="O292" s="49"/>
      <c r="P292" s="49"/>
    </row>
    <row r="293" spans="3:16">
      <c r="C293" s="48"/>
      <c r="D293" s="48"/>
      <c r="E293" s="59"/>
      <c r="K293" s="49"/>
      <c r="L293" s="49"/>
      <c r="O293" s="49"/>
      <c r="P293" s="49"/>
    </row>
    <row r="294" spans="3:16">
      <c r="C294" s="48"/>
      <c r="D294" s="48"/>
      <c r="E294" s="59"/>
      <c r="K294" s="49"/>
      <c r="L294" s="49"/>
      <c r="O294" s="49"/>
      <c r="P294" s="49"/>
    </row>
    <row r="295" spans="3:16">
      <c r="C295" s="48"/>
      <c r="D295" s="48"/>
      <c r="E295" s="59"/>
      <c r="K295" s="49"/>
      <c r="L295" s="49"/>
      <c r="O295" s="49"/>
      <c r="P295" s="49"/>
    </row>
    <row r="296" spans="3:16">
      <c r="C296" s="48"/>
      <c r="D296" s="48"/>
      <c r="E296" s="59"/>
      <c r="K296" s="49"/>
      <c r="L296" s="49"/>
      <c r="O296" s="49"/>
      <c r="P296" s="49"/>
    </row>
    <row r="297" spans="3:16">
      <c r="C297" s="48"/>
      <c r="D297" s="48"/>
      <c r="E297" s="59"/>
      <c r="K297" s="49"/>
      <c r="L297" s="49"/>
      <c r="O297" s="49"/>
      <c r="P297" s="49"/>
    </row>
    <row r="298" spans="3:16">
      <c r="C298" s="48"/>
      <c r="D298" s="48"/>
      <c r="E298" s="59"/>
      <c r="K298" s="49"/>
      <c r="L298" s="49"/>
      <c r="O298" s="49"/>
      <c r="P298" s="49"/>
    </row>
    <row r="299" spans="3:16">
      <c r="C299" s="48"/>
      <c r="D299" s="48"/>
      <c r="E299" s="59"/>
      <c r="K299" s="49"/>
      <c r="L299" s="49"/>
      <c r="O299" s="49"/>
      <c r="P299" s="49"/>
    </row>
    <row r="300" spans="3:16">
      <c r="C300" s="48"/>
      <c r="D300" s="48"/>
      <c r="E300" s="59"/>
      <c r="K300" s="49"/>
      <c r="L300" s="49"/>
      <c r="O300" s="49"/>
      <c r="P300" s="49"/>
    </row>
    <row r="301" spans="3:16">
      <c r="C301" s="48"/>
      <c r="D301" s="48"/>
      <c r="E301" s="59"/>
      <c r="K301" s="49"/>
      <c r="L301" s="49"/>
      <c r="O301" s="49"/>
      <c r="P301" s="49"/>
    </row>
    <row r="302" spans="3:16">
      <c r="C302" s="48"/>
      <c r="D302" s="48"/>
      <c r="E302" s="59"/>
      <c r="K302" s="49"/>
      <c r="L302" s="49"/>
      <c r="O302" s="49"/>
      <c r="P302" s="49"/>
    </row>
    <row r="303" spans="3:16">
      <c r="C303" s="48"/>
      <c r="D303" s="48"/>
      <c r="E303" s="59"/>
      <c r="K303" s="49"/>
      <c r="L303" s="49"/>
      <c r="O303" s="49"/>
      <c r="P303" s="49"/>
    </row>
    <row r="304" spans="3:16">
      <c r="C304" s="48"/>
      <c r="D304" s="48"/>
      <c r="E304" s="59"/>
      <c r="K304" s="49"/>
      <c r="L304" s="49"/>
      <c r="O304" s="49"/>
      <c r="P304" s="49"/>
    </row>
    <row r="305" spans="3:16">
      <c r="C305" s="48"/>
      <c r="D305" s="48"/>
      <c r="E305" s="59"/>
      <c r="K305" s="49"/>
      <c r="L305" s="49"/>
      <c r="O305" s="49"/>
      <c r="P305" s="49"/>
    </row>
    <row r="306" spans="3:16">
      <c r="C306" s="48"/>
      <c r="D306" s="48"/>
      <c r="E306" s="59"/>
      <c r="K306" s="49"/>
      <c r="L306" s="49"/>
      <c r="O306" s="49"/>
      <c r="P306" s="49"/>
    </row>
    <row r="307" spans="3:16">
      <c r="C307" s="48"/>
      <c r="D307" s="48"/>
      <c r="E307" s="59"/>
      <c r="K307" s="49"/>
      <c r="L307" s="49"/>
      <c r="O307" s="49"/>
      <c r="P307" s="49"/>
    </row>
    <row r="308" spans="3:16">
      <c r="C308" s="48"/>
      <c r="D308" s="48"/>
      <c r="E308" s="59"/>
      <c r="K308" s="49"/>
      <c r="L308" s="49"/>
      <c r="O308" s="49"/>
      <c r="P308" s="49"/>
    </row>
    <row r="309" spans="3:16">
      <c r="C309" s="48"/>
      <c r="D309" s="48"/>
      <c r="E309" s="59"/>
      <c r="K309" s="49"/>
      <c r="L309" s="49"/>
      <c r="O309" s="49"/>
      <c r="P309" s="49"/>
    </row>
    <row r="310" spans="3:16">
      <c r="C310" s="48"/>
      <c r="D310" s="48"/>
      <c r="E310" s="59"/>
      <c r="K310" s="49"/>
      <c r="L310" s="49"/>
      <c r="O310" s="49"/>
      <c r="P310" s="49"/>
    </row>
    <row r="311" spans="3:16">
      <c r="C311" s="48"/>
      <c r="D311" s="48"/>
      <c r="E311" s="59"/>
      <c r="K311" s="49"/>
      <c r="L311" s="49"/>
      <c r="O311" s="49"/>
      <c r="P311" s="49"/>
    </row>
    <row r="312" spans="3:16">
      <c r="C312" s="48"/>
      <c r="D312" s="48"/>
      <c r="E312" s="59"/>
      <c r="K312" s="49"/>
      <c r="L312" s="49"/>
      <c r="O312" s="49"/>
      <c r="P312" s="49"/>
    </row>
    <row r="313" spans="3:16">
      <c r="C313" s="48"/>
      <c r="D313" s="48"/>
      <c r="E313" s="59"/>
      <c r="K313" s="49"/>
      <c r="L313" s="49"/>
      <c r="O313" s="49"/>
      <c r="P313" s="49"/>
    </row>
    <row r="314" spans="3:16">
      <c r="C314" s="48"/>
      <c r="D314" s="48"/>
      <c r="E314" s="59"/>
      <c r="K314" s="49"/>
      <c r="L314" s="49"/>
      <c r="O314" s="49"/>
      <c r="P314" s="49"/>
    </row>
    <row r="315" spans="3:16">
      <c r="C315" s="48"/>
      <c r="D315" s="48"/>
      <c r="E315" s="59"/>
      <c r="K315" s="49"/>
      <c r="L315" s="49"/>
      <c r="O315" s="49"/>
      <c r="P315" s="49"/>
    </row>
    <row r="316" spans="3:16">
      <c r="C316" s="48"/>
      <c r="D316" s="48"/>
      <c r="E316" s="59"/>
      <c r="K316" s="49"/>
      <c r="L316" s="49"/>
      <c r="O316" s="49"/>
      <c r="P316" s="49"/>
    </row>
    <row r="317" spans="3:16">
      <c r="C317" s="48"/>
      <c r="D317" s="48"/>
      <c r="E317" s="59"/>
      <c r="K317" s="49"/>
      <c r="L317" s="49"/>
      <c r="O317" s="49"/>
      <c r="P317" s="49"/>
    </row>
    <row r="318" spans="3:16">
      <c r="C318" s="48"/>
      <c r="D318" s="48"/>
      <c r="E318" s="59"/>
      <c r="K318" s="49"/>
      <c r="L318" s="49"/>
      <c r="O318" s="49"/>
      <c r="P318" s="49"/>
    </row>
    <row r="319" spans="3:16">
      <c r="C319" s="48"/>
      <c r="D319" s="48"/>
      <c r="E319" s="59"/>
      <c r="K319" s="49"/>
      <c r="L319" s="49"/>
      <c r="O319" s="49"/>
      <c r="P319" s="49"/>
    </row>
    <row r="320" spans="3:16">
      <c r="C320" s="48"/>
      <c r="D320" s="48"/>
      <c r="E320" s="59"/>
      <c r="K320" s="49"/>
      <c r="L320" s="49"/>
      <c r="O320" s="49"/>
      <c r="P320" s="49"/>
    </row>
    <row r="321" spans="3:16">
      <c r="C321" s="48"/>
      <c r="D321" s="48"/>
      <c r="E321" s="59"/>
      <c r="K321" s="49"/>
      <c r="L321" s="49"/>
      <c r="O321" s="49"/>
      <c r="P321" s="49"/>
    </row>
    <row r="322" spans="3:16">
      <c r="C322" s="48"/>
      <c r="D322" s="48"/>
      <c r="E322" s="59"/>
      <c r="K322" s="49"/>
      <c r="L322" s="49"/>
      <c r="O322" s="49"/>
      <c r="P322" s="49"/>
    </row>
    <row r="323" spans="3:16">
      <c r="C323" s="48"/>
      <c r="D323" s="48"/>
      <c r="E323" s="59"/>
      <c r="K323" s="49"/>
      <c r="L323" s="49"/>
      <c r="O323" s="49"/>
      <c r="P323" s="49"/>
    </row>
    <row r="324" spans="3:16">
      <c r="C324" s="48"/>
      <c r="D324" s="48"/>
      <c r="E324" s="59"/>
      <c r="K324" s="49"/>
      <c r="L324" s="49"/>
      <c r="O324" s="49"/>
      <c r="P324" s="49"/>
    </row>
    <row r="325" spans="3:16">
      <c r="C325" s="48"/>
      <c r="D325" s="48"/>
      <c r="E325" s="59"/>
      <c r="K325" s="49"/>
      <c r="L325" s="49"/>
      <c r="O325" s="49"/>
      <c r="P325" s="49"/>
    </row>
    <row r="326" spans="3:16">
      <c r="C326" s="48"/>
      <c r="D326" s="48"/>
      <c r="E326" s="59"/>
      <c r="K326" s="49"/>
      <c r="L326" s="49"/>
      <c r="O326" s="49"/>
      <c r="P326" s="49"/>
    </row>
    <row r="327" spans="3:16">
      <c r="C327" s="48"/>
      <c r="D327" s="48"/>
      <c r="E327" s="59"/>
      <c r="K327" s="49"/>
      <c r="L327" s="49"/>
      <c r="O327" s="49"/>
      <c r="P327" s="49"/>
    </row>
    <row r="328" spans="3:16">
      <c r="C328" s="48"/>
      <c r="D328" s="48"/>
      <c r="E328" s="59"/>
      <c r="K328" s="49"/>
      <c r="L328" s="49"/>
      <c r="O328" s="49"/>
      <c r="P328" s="49"/>
    </row>
    <row r="329" spans="3:16">
      <c r="C329" s="48"/>
      <c r="D329" s="48"/>
      <c r="E329" s="59"/>
      <c r="K329" s="49"/>
      <c r="L329" s="49"/>
      <c r="O329" s="49"/>
      <c r="P329" s="49"/>
    </row>
    <row r="330" spans="3:16">
      <c r="C330" s="48"/>
      <c r="D330" s="48"/>
      <c r="E330" s="59"/>
      <c r="K330" s="49"/>
      <c r="L330" s="49"/>
      <c r="O330" s="49"/>
      <c r="P330" s="49"/>
    </row>
    <row r="331" spans="3:16">
      <c r="C331" s="48"/>
      <c r="D331" s="48"/>
      <c r="E331" s="59"/>
      <c r="K331" s="49"/>
      <c r="L331" s="49"/>
      <c r="O331" s="49"/>
      <c r="P331" s="49"/>
    </row>
    <row r="332" spans="3:16">
      <c r="C332" s="48"/>
      <c r="D332" s="48"/>
      <c r="E332" s="59"/>
      <c r="K332" s="49"/>
      <c r="L332" s="49"/>
      <c r="O332" s="49"/>
      <c r="P332" s="49"/>
    </row>
    <row r="333" spans="3:16">
      <c r="C333" s="48"/>
      <c r="D333" s="48"/>
      <c r="E333" s="59"/>
      <c r="K333" s="49"/>
      <c r="L333" s="49"/>
      <c r="O333" s="49"/>
      <c r="P333" s="49"/>
    </row>
    <row r="334" spans="3:16">
      <c r="C334" s="48"/>
      <c r="D334" s="48"/>
      <c r="E334" s="59"/>
      <c r="K334" s="49"/>
      <c r="L334" s="49"/>
      <c r="O334" s="49"/>
      <c r="P334" s="49"/>
    </row>
    <row r="335" spans="3:16">
      <c r="C335" s="48"/>
      <c r="D335" s="48"/>
      <c r="E335" s="59"/>
      <c r="K335" s="49"/>
      <c r="L335" s="49"/>
      <c r="O335" s="49"/>
      <c r="P335" s="49"/>
    </row>
    <row r="336" spans="3:16">
      <c r="C336" s="48"/>
      <c r="D336" s="48"/>
      <c r="E336" s="59"/>
      <c r="K336" s="49"/>
      <c r="L336" s="49"/>
      <c r="O336" s="49"/>
      <c r="P336" s="49"/>
    </row>
    <row r="337" spans="3:16">
      <c r="C337" s="48"/>
      <c r="D337" s="48"/>
      <c r="E337" s="59"/>
      <c r="K337" s="49"/>
      <c r="L337" s="49"/>
      <c r="O337" s="49"/>
      <c r="P337" s="49"/>
    </row>
    <row r="338" spans="3:16">
      <c r="C338" s="48"/>
      <c r="D338" s="48"/>
      <c r="E338" s="59"/>
      <c r="K338" s="49"/>
      <c r="L338" s="49"/>
      <c r="O338" s="49"/>
      <c r="P338" s="49"/>
    </row>
    <row r="339" spans="3:16">
      <c r="C339" s="48"/>
      <c r="D339" s="48"/>
      <c r="E339" s="59"/>
      <c r="K339" s="49"/>
      <c r="L339" s="49"/>
      <c r="O339" s="49"/>
      <c r="P339" s="49"/>
    </row>
    <row r="340" spans="3:16">
      <c r="C340" s="48"/>
      <c r="D340" s="48"/>
      <c r="E340" s="59"/>
      <c r="K340" s="49"/>
      <c r="L340" s="49"/>
      <c r="O340" s="49"/>
      <c r="P340" s="49"/>
    </row>
    <row r="341" spans="3:16">
      <c r="C341" s="48"/>
      <c r="D341" s="48"/>
      <c r="E341" s="59"/>
      <c r="K341" s="49"/>
      <c r="L341" s="49"/>
      <c r="O341" s="49"/>
      <c r="P341" s="49"/>
    </row>
    <row r="342" spans="3:16">
      <c r="C342" s="48"/>
      <c r="D342" s="48"/>
      <c r="E342" s="59"/>
      <c r="K342" s="49"/>
      <c r="L342" s="49"/>
      <c r="O342" s="49"/>
      <c r="P342" s="49"/>
    </row>
    <row r="343" spans="3:16">
      <c r="C343" s="48"/>
      <c r="D343" s="48"/>
      <c r="E343" s="59"/>
      <c r="K343" s="49"/>
      <c r="L343" s="49"/>
      <c r="O343" s="49"/>
      <c r="P343" s="49"/>
    </row>
    <row r="344" spans="3:16">
      <c r="C344" s="48"/>
      <c r="D344" s="48"/>
      <c r="E344" s="59"/>
      <c r="K344" s="49"/>
      <c r="L344" s="49"/>
      <c r="O344" s="49"/>
      <c r="P344" s="49"/>
    </row>
    <row r="345" spans="3:16">
      <c r="C345" s="48"/>
      <c r="D345" s="48"/>
      <c r="E345" s="59"/>
      <c r="K345" s="49"/>
      <c r="L345" s="49"/>
      <c r="O345" s="49"/>
      <c r="P345" s="49"/>
    </row>
    <row r="346" spans="3:16">
      <c r="C346" s="48"/>
      <c r="D346" s="48"/>
      <c r="E346" s="59"/>
      <c r="K346" s="49"/>
      <c r="L346" s="49"/>
      <c r="O346" s="49"/>
      <c r="P346" s="49"/>
    </row>
    <row r="347" spans="3:16">
      <c r="C347" s="48"/>
      <c r="D347" s="48"/>
      <c r="E347" s="59"/>
      <c r="K347" s="49"/>
      <c r="L347" s="49"/>
      <c r="O347" s="49"/>
      <c r="P347" s="49"/>
    </row>
    <row r="348" spans="3:16">
      <c r="C348" s="48"/>
      <c r="D348" s="48"/>
      <c r="E348" s="59"/>
      <c r="K348" s="49"/>
      <c r="L348" s="49"/>
      <c r="O348" s="49"/>
      <c r="P348" s="49"/>
    </row>
    <row r="349" spans="3:16">
      <c r="C349" s="48"/>
      <c r="D349" s="48"/>
      <c r="E349" s="59"/>
      <c r="K349" s="49"/>
      <c r="L349" s="49"/>
      <c r="O349" s="49"/>
      <c r="P349" s="49"/>
    </row>
    <row r="350" spans="3:16">
      <c r="C350" s="48"/>
      <c r="D350" s="48"/>
      <c r="E350" s="59"/>
      <c r="K350" s="49"/>
      <c r="L350" s="49"/>
      <c r="O350" s="49"/>
      <c r="P350" s="49"/>
    </row>
    <row r="351" spans="3:16">
      <c r="C351" s="48"/>
      <c r="D351" s="48"/>
      <c r="E351" s="59"/>
      <c r="K351" s="49"/>
      <c r="L351" s="49"/>
      <c r="O351" s="49"/>
      <c r="P351" s="49"/>
    </row>
    <row r="352" spans="3:16">
      <c r="C352" s="48"/>
      <c r="D352" s="48"/>
      <c r="E352" s="59"/>
      <c r="K352" s="49"/>
      <c r="L352" s="49"/>
      <c r="O352" s="49"/>
      <c r="P352" s="49"/>
    </row>
    <row r="353" spans="3:16">
      <c r="C353" s="48"/>
      <c r="D353" s="48"/>
      <c r="E353" s="59"/>
      <c r="K353" s="49"/>
      <c r="L353" s="49"/>
      <c r="O353" s="49"/>
      <c r="P353" s="49"/>
    </row>
    <row r="354" spans="3:16">
      <c r="C354" s="48"/>
      <c r="D354" s="48"/>
      <c r="E354" s="59"/>
      <c r="K354" s="49"/>
      <c r="L354" s="49"/>
      <c r="O354" s="49"/>
      <c r="P354" s="49"/>
    </row>
    <row r="355" spans="3:16">
      <c r="C355" s="48"/>
      <c r="D355" s="48"/>
      <c r="E355" s="59"/>
      <c r="K355" s="49"/>
      <c r="L355" s="49"/>
      <c r="O355" s="49"/>
      <c r="P355" s="49"/>
    </row>
    <row r="356" spans="3:16">
      <c r="C356" s="48"/>
      <c r="D356" s="48"/>
      <c r="E356" s="59"/>
      <c r="K356" s="49"/>
      <c r="L356" s="49"/>
      <c r="O356" s="49"/>
      <c r="P356" s="49"/>
    </row>
    <row r="357" spans="3:16">
      <c r="C357" s="48"/>
      <c r="D357" s="48"/>
      <c r="E357" s="59"/>
      <c r="K357" s="49"/>
      <c r="L357" s="49"/>
      <c r="O357" s="49"/>
      <c r="P357" s="49"/>
    </row>
    <row r="358" spans="3:16">
      <c r="C358" s="48"/>
      <c r="D358" s="48"/>
      <c r="E358" s="59"/>
      <c r="K358" s="49"/>
      <c r="L358" s="49"/>
      <c r="O358" s="49"/>
      <c r="P358" s="49"/>
    </row>
    <row r="359" spans="3:16">
      <c r="C359" s="48"/>
      <c r="D359" s="48"/>
      <c r="E359" s="59"/>
      <c r="K359" s="49"/>
      <c r="L359" s="49"/>
      <c r="O359" s="49"/>
      <c r="P359" s="49"/>
    </row>
    <row r="360" spans="3:16">
      <c r="C360" s="48"/>
      <c r="D360" s="48"/>
      <c r="E360" s="59"/>
      <c r="K360" s="49"/>
      <c r="L360" s="49"/>
      <c r="O360" s="49"/>
      <c r="P360" s="49"/>
    </row>
    <row r="361" spans="3:16">
      <c r="C361" s="48"/>
      <c r="D361" s="48"/>
      <c r="E361" s="59"/>
      <c r="K361" s="49"/>
      <c r="L361" s="49"/>
      <c r="O361" s="49"/>
      <c r="P361" s="49"/>
    </row>
    <row r="362" spans="3:16">
      <c r="C362" s="48"/>
      <c r="D362" s="48"/>
      <c r="E362" s="59"/>
      <c r="K362" s="49"/>
      <c r="L362" s="49"/>
      <c r="O362" s="49"/>
      <c r="P362" s="49"/>
    </row>
    <row r="363" spans="3:16">
      <c r="C363" s="48"/>
      <c r="D363" s="48"/>
      <c r="E363" s="59"/>
      <c r="K363" s="49"/>
      <c r="L363" s="49"/>
      <c r="O363" s="49"/>
      <c r="P363" s="49"/>
    </row>
    <row r="364" spans="3:16">
      <c r="C364" s="48"/>
      <c r="D364" s="48"/>
      <c r="E364" s="59"/>
      <c r="K364" s="49"/>
      <c r="L364" s="49"/>
      <c r="O364" s="49"/>
      <c r="P364" s="49"/>
    </row>
    <row r="365" spans="3:16">
      <c r="C365" s="48"/>
      <c r="D365" s="48"/>
      <c r="E365" s="59"/>
      <c r="K365" s="49"/>
      <c r="L365" s="49"/>
      <c r="O365" s="49"/>
      <c r="P365" s="49"/>
    </row>
    <row r="366" spans="3:16">
      <c r="C366" s="48"/>
      <c r="D366" s="48"/>
      <c r="E366" s="59"/>
      <c r="K366" s="49"/>
      <c r="L366" s="49"/>
      <c r="O366" s="49"/>
      <c r="P366" s="49"/>
    </row>
    <row r="367" spans="3:16">
      <c r="C367" s="48"/>
      <c r="D367" s="48"/>
      <c r="E367" s="59"/>
      <c r="K367" s="49"/>
      <c r="L367" s="49"/>
      <c r="O367" s="49"/>
      <c r="P367" s="49"/>
    </row>
    <row r="368" spans="3:16">
      <c r="C368" s="48"/>
      <c r="D368" s="48"/>
      <c r="E368" s="59"/>
      <c r="K368" s="49"/>
      <c r="L368" s="49"/>
      <c r="O368" s="49"/>
      <c r="P368" s="49"/>
    </row>
    <row r="369" spans="3:16">
      <c r="C369" s="48"/>
      <c r="D369" s="48"/>
      <c r="E369" s="59"/>
      <c r="K369" s="49"/>
      <c r="L369" s="49"/>
      <c r="O369" s="49"/>
      <c r="P369" s="49"/>
    </row>
    <row r="370" spans="3:16">
      <c r="C370" s="48"/>
      <c r="D370" s="48"/>
      <c r="E370" s="59"/>
      <c r="K370" s="49"/>
      <c r="L370" s="49"/>
      <c r="O370" s="49"/>
      <c r="P370" s="49"/>
    </row>
    <row r="371" spans="3:16">
      <c r="C371" s="48"/>
      <c r="D371" s="48"/>
      <c r="E371" s="59"/>
      <c r="K371" s="49"/>
      <c r="L371" s="49"/>
      <c r="O371" s="49"/>
      <c r="P371" s="49"/>
    </row>
    <row r="372" spans="3:16">
      <c r="C372" s="48"/>
      <c r="D372" s="48"/>
      <c r="E372" s="59"/>
      <c r="K372" s="49"/>
      <c r="L372" s="49"/>
      <c r="O372" s="49"/>
      <c r="P372" s="49"/>
    </row>
    <row r="373" spans="3:16">
      <c r="C373" s="48"/>
      <c r="D373" s="48"/>
      <c r="E373" s="59"/>
      <c r="K373" s="49"/>
      <c r="L373" s="49"/>
      <c r="O373" s="49"/>
      <c r="P373" s="49"/>
    </row>
    <row r="374" spans="3:16">
      <c r="C374" s="48"/>
      <c r="D374" s="48"/>
      <c r="E374" s="59"/>
      <c r="K374" s="49"/>
      <c r="L374" s="49"/>
      <c r="O374" s="49"/>
      <c r="P374" s="49"/>
    </row>
    <row r="375" spans="3:16">
      <c r="C375" s="48"/>
      <c r="D375" s="48"/>
      <c r="E375" s="59"/>
      <c r="K375" s="49"/>
      <c r="L375" s="49"/>
      <c r="O375" s="49"/>
      <c r="P375" s="49"/>
    </row>
    <row r="376" spans="3:16">
      <c r="C376" s="48"/>
      <c r="D376" s="48"/>
      <c r="E376" s="59"/>
      <c r="K376" s="49"/>
      <c r="L376" s="49"/>
      <c r="O376" s="49"/>
      <c r="P376" s="49"/>
    </row>
    <row r="377" spans="3:16">
      <c r="C377" s="48"/>
      <c r="D377" s="48"/>
      <c r="E377" s="59"/>
      <c r="K377" s="49"/>
      <c r="L377" s="49"/>
      <c r="O377" s="49"/>
      <c r="P377" s="49"/>
    </row>
    <row r="378" spans="3:16">
      <c r="C378" s="48"/>
      <c r="D378" s="48"/>
      <c r="E378" s="59"/>
      <c r="K378" s="49"/>
      <c r="L378" s="49"/>
      <c r="O378" s="49"/>
      <c r="P378" s="49"/>
    </row>
    <row r="379" spans="3:16">
      <c r="C379" s="48"/>
      <c r="D379" s="48"/>
      <c r="E379" s="59"/>
      <c r="K379" s="49"/>
      <c r="L379" s="49"/>
      <c r="O379" s="49"/>
      <c r="P379" s="49"/>
    </row>
    <row r="380" spans="3:16">
      <c r="C380" s="48"/>
      <c r="D380" s="48"/>
      <c r="E380" s="59"/>
      <c r="K380" s="49"/>
      <c r="L380" s="49"/>
      <c r="O380" s="49"/>
      <c r="P380" s="49"/>
    </row>
    <row r="381" spans="3:16">
      <c r="C381" s="48"/>
      <c r="D381" s="48"/>
      <c r="E381" s="59"/>
      <c r="K381" s="49"/>
      <c r="L381" s="49"/>
      <c r="O381" s="49"/>
      <c r="P381" s="49"/>
    </row>
    <row r="382" spans="3:16">
      <c r="C382" s="48"/>
      <c r="D382" s="48"/>
      <c r="E382" s="59"/>
      <c r="K382" s="49"/>
      <c r="L382" s="49"/>
      <c r="O382" s="49"/>
      <c r="P382" s="49"/>
    </row>
    <row r="383" spans="3:16">
      <c r="C383" s="48"/>
      <c r="D383" s="48"/>
      <c r="E383" s="59"/>
      <c r="K383" s="49"/>
      <c r="L383" s="49"/>
      <c r="O383" s="49"/>
      <c r="P383" s="49"/>
    </row>
    <row r="384" spans="3:16">
      <c r="C384" s="48"/>
      <c r="D384" s="48"/>
      <c r="E384" s="59"/>
      <c r="K384" s="49"/>
      <c r="L384" s="49"/>
      <c r="O384" s="49"/>
      <c r="P384" s="49"/>
    </row>
    <row r="385" spans="3:16">
      <c r="C385" s="48"/>
      <c r="D385" s="48"/>
      <c r="E385" s="59"/>
      <c r="K385" s="49"/>
      <c r="L385" s="49"/>
      <c r="O385" s="49"/>
      <c r="P385" s="49"/>
    </row>
    <row r="386" spans="3:16">
      <c r="C386" s="48"/>
      <c r="D386" s="48"/>
      <c r="E386" s="59"/>
      <c r="K386" s="49"/>
      <c r="L386" s="49"/>
      <c r="O386" s="49"/>
      <c r="P386" s="49"/>
    </row>
    <row r="387" spans="3:16">
      <c r="C387" s="48"/>
      <c r="D387" s="48"/>
      <c r="E387" s="59"/>
      <c r="K387" s="49"/>
      <c r="L387" s="49"/>
      <c r="O387" s="49"/>
      <c r="P387" s="49"/>
    </row>
    <row r="388" spans="3:16">
      <c r="C388" s="48"/>
      <c r="D388" s="48"/>
      <c r="E388" s="59"/>
      <c r="K388" s="49"/>
      <c r="L388" s="49"/>
      <c r="O388" s="49"/>
      <c r="P388" s="49"/>
    </row>
    <row r="389" spans="3:16">
      <c r="C389" s="48"/>
      <c r="D389" s="48"/>
      <c r="E389" s="59"/>
      <c r="K389" s="49"/>
      <c r="L389" s="49"/>
      <c r="O389" s="49"/>
      <c r="P389" s="49"/>
    </row>
    <row r="390" spans="3:16">
      <c r="C390" s="48"/>
      <c r="D390" s="48"/>
      <c r="E390" s="59"/>
      <c r="K390" s="49"/>
      <c r="L390" s="49"/>
      <c r="O390" s="49"/>
      <c r="P390" s="49"/>
    </row>
    <row r="391" spans="3:16">
      <c r="C391" s="48"/>
      <c r="D391" s="48"/>
      <c r="E391" s="59"/>
      <c r="K391" s="49"/>
      <c r="L391" s="49"/>
      <c r="O391" s="49"/>
      <c r="P391" s="49"/>
    </row>
    <row r="392" spans="3:16">
      <c r="C392" s="48"/>
      <c r="D392" s="48"/>
      <c r="E392" s="59"/>
      <c r="K392" s="49"/>
      <c r="L392" s="49"/>
      <c r="O392" s="49"/>
      <c r="P392" s="49"/>
    </row>
    <row r="393" spans="3:16">
      <c r="C393" s="48"/>
      <c r="D393" s="48"/>
      <c r="E393" s="59"/>
      <c r="K393" s="49"/>
      <c r="L393" s="49"/>
      <c r="O393" s="49"/>
      <c r="P393" s="49"/>
    </row>
    <row r="394" spans="3:16">
      <c r="C394" s="48"/>
      <c r="D394" s="48"/>
      <c r="E394" s="59"/>
      <c r="K394" s="49"/>
      <c r="L394" s="49"/>
      <c r="O394" s="49"/>
      <c r="P394" s="49"/>
    </row>
    <row r="395" spans="3:16">
      <c r="C395" s="48"/>
      <c r="D395" s="48"/>
      <c r="E395" s="59"/>
      <c r="K395" s="49"/>
      <c r="L395" s="49"/>
      <c r="O395" s="49"/>
      <c r="P395" s="49"/>
    </row>
    <row r="396" spans="3:16">
      <c r="C396" s="48"/>
      <c r="D396" s="48"/>
      <c r="E396" s="59"/>
      <c r="K396" s="49"/>
      <c r="L396" s="49"/>
      <c r="O396" s="49"/>
      <c r="P396" s="49"/>
    </row>
    <row r="397" spans="3:16">
      <c r="C397" s="48"/>
      <c r="D397" s="48"/>
      <c r="E397" s="59"/>
      <c r="K397" s="49"/>
      <c r="L397" s="49"/>
      <c r="O397" s="49"/>
      <c r="P397" s="49"/>
    </row>
    <row r="398" spans="3:16">
      <c r="C398" s="48"/>
      <c r="D398" s="48"/>
      <c r="E398" s="59"/>
      <c r="K398" s="49"/>
      <c r="L398" s="49"/>
      <c r="O398" s="49"/>
      <c r="P398" s="49"/>
    </row>
    <row r="399" spans="3:16">
      <c r="C399" s="48"/>
      <c r="D399" s="48"/>
      <c r="E399" s="59"/>
      <c r="K399" s="49"/>
      <c r="L399" s="49"/>
      <c r="O399" s="49"/>
      <c r="P399" s="49"/>
    </row>
    <row r="400" spans="3:16">
      <c r="C400" s="48"/>
      <c r="D400" s="48"/>
      <c r="E400" s="59"/>
      <c r="K400" s="49"/>
      <c r="L400" s="49"/>
      <c r="O400" s="49"/>
      <c r="P400" s="49"/>
    </row>
    <row r="401" spans="3:16">
      <c r="C401" s="48"/>
      <c r="D401" s="48"/>
      <c r="E401" s="59"/>
      <c r="K401" s="49"/>
      <c r="L401" s="49"/>
      <c r="O401" s="49"/>
      <c r="P401" s="49"/>
    </row>
    <row r="402" spans="3:16">
      <c r="C402" s="48"/>
      <c r="D402" s="48"/>
      <c r="E402" s="59"/>
      <c r="K402" s="49"/>
      <c r="L402" s="49"/>
      <c r="O402" s="49"/>
      <c r="P402" s="49"/>
    </row>
    <row r="403" spans="3:16">
      <c r="C403" s="48"/>
      <c r="D403" s="48"/>
      <c r="E403" s="59"/>
      <c r="K403" s="49"/>
      <c r="L403" s="49"/>
      <c r="O403" s="49"/>
      <c r="P403" s="49"/>
    </row>
    <row r="404" spans="3:16">
      <c r="C404" s="48"/>
      <c r="D404" s="48"/>
      <c r="E404" s="59"/>
      <c r="K404" s="49"/>
      <c r="L404" s="49"/>
      <c r="O404" s="49"/>
      <c r="P404" s="49"/>
    </row>
    <row r="405" spans="3:16">
      <c r="C405" s="48"/>
      <c r="D405" s="48"/>
      <c r="E405" s="59"/>
      <c r="K405" s="49"/>
      <c r="L405" s="49"/>
      <c r="O405" s="49"/>
      <c r="P405" s="49"/>
    </row>
    <row r="406" spans="3:16">
      <c r="C406" s="48"/>
      <c r="D406" s="48"/>
      <c r="E406" s="59"/>
      <c r="K406" s="49"/>
      <c r="L406" s="49"/>
      <c r="O406" s="49"/>
      <c r="P406" s="49"/>
    </row>
    <row r="407" spans="3:16">
      <c r="C407" s="48"/>
      <c r="D407" s="48"/>
      <c r="E407" s="59"/>
      <c r="K407" s="49"/>
      <c r="L407" s="49"/>
      <c r="O407" s="49"/>
      <c r="P407" s="49"/>
    </row>
    <row r="408" spans="3:16">
      <c r="C408" s="48"/>
      <c r="D408" s="48"/>
      <c r="E408" s="59"/>
      <c r="K408" s="49"/>
      <c r="L408" s="49"/>
      <c r="O408" s="49"/>
      <c r="P408" s="49"/>
    </row>
    <row r="409" spans="3:16">
      <c r="C409" s="48"/>
      <c r="D409" s="48"/>
      <c r="E409" s="59"/>
      <c r="K409" s="49"/>
      <c r="L409" s="49"/>
      <c r="O409" s="49"/>
      <c r="P409" s="49"/>
    </row>
    <row r="410" spans="3:16">
      <c r="C410" s="48"/>
      <c r="D410" s="48"/>
      <c r="E410" s="59"/>
      <c r="K410" s="49"/>
      <c r="L410" s="49"/>
      <c r="O410" s="49"/>
      <c r="P410" s="49"/>
    </row>
    <row r="411" spans="3:16">
      <c r="C411" s="48"/>
      <c r="D411" s="48"/>
      <c r="E411" s="59"/>
      <c r="K411" s="49"/>
      <c r="L411" s="49"/>
      <c r="O411" s="49"/>
      <c r="P411" s="49"/>
    </row>
    <row r="412" spans="3:16">
      <c r="C412" s="48"/>
      <c r="D412" s="48"/>
      <c r="E412" s="59"/>
      <c r="K412" s="49"/>
      <c r="L412" s="49"/>
      <c r="O412" s="49"/>
      <c r="P412" s="49"/>
    </row>
    <row r="413" spans="3:16">
      <c r="C413" s="48"/>
      <c r="D413" s="48"/>
      <c r="E413" s="59"/>
      <c r="K413" s="49"/>
      <c r="L413" s="49"/>
      <c r="O413" s="49"/>
      <c r="P413" s="49"/>
    </row>
    <row r="414" spans="3:16">
      <c r="C414" s="48"/>
      <c r="D414" s="48"/>
      <c r="E414" s="59"/>
      <c r="K414" s="49"/>
      <c r="L414" s="49"/>
      <c r="O414" s="49"/>
      <c r="P414" s="49"/>
    </row>
    <row r="415" spans="3:16">
      <c r="C415" s="48"/>
      <c r="D415" s="48"/>
      <c r="E415" s="59"/>
      <c r="K415" s="49"/>
      <c r="L415" s="49"/>
      <c r="O415" s="49"/>
      <c r="P415" s="49"/>
    </row>
    <row r="416" spans="3:16">
      <c r="C416" s="48"/>
      <c r="D416" s="48"/>
      <c r="E416" s="59"/>
      <c r="K416" s="49"/>
      <c r="L416" s="49"/>
      <c r="O416" s="49"/>
      <c r="P416" s="49"/>
    </row>
    <row r="417" spans="3:16">
      <c r="C417" s="48"/>
      <c r="D417" s="48"/>
      <c r="E417" s="59"/>
      <c r="K417" s="49"/>
      <c r="L417" s="49"/>
      <c r="O417" s="49"/>
      <c r="P417" s="49"/>
    </row>
    <row r="418" spans="3:16">
      <c r="C418" s="48"/>
      <c r="D418" s="48"/>
      <c r="E418" s="59"/>
      <c r="K418" s="49"/>
      <c r="L418" s="49"/>
      <c r="O418" s="49"/>
      <c r="P418" s="49"/>
    </row>
    <row r="419" spans="3:16">
      <c r="C419" s="48"/>
      <c r="D419" s="48"/>
      <c r="E419" s="59"/>
      <c r="K419" s="49"/>
      <c r="L419" s="49"/>
      <c r="O419" s="49"/>
      <c r="P419" s="49"/>
    </row>
    <row r="420" spans="3:16">
      <c r="C420" s="48"/>
      <c r="D420" s="48"/>
      <c r="E420" s="59"/>
      <c r="K420" s="49"/>
      <c r="L420" s="49"/>
      <c r="O420" s="49"/>
      <c r="P420" s="49"/>
    </row>
    <row r="421" spans="3:16">
      <c r="C421" s="48"/>
      <c r="D421" s="48"/>
      <c r="E421" s="59"/>
      <c r="K421" s="49"/>
      <c r="L421" s="49"/>
      <c r="O421" s="49"/>
      <c r="P421" s="49"/>
    </row>
    <row r="422" spans="3:16">
      <c r="C422" s="48"/>
      <c r="D422" s="48"/>
      <c r="E422" s="59"/>
      <c r="K422" s="49"/>
      <c r="L422" s="49"/>
      <c r="O422" s="49"/>
      <c r="P422" s="49"/>
    </row>
    <row r="423" spans="3:16">
      <c r="C423" s="48"/>
      <c r="D423" s="48"/>
      <c r="E423" s="59"/>
      <c r="K423" s="49"/>
      <c r="L423" s="49"/>
      <c r="O423" s="49"/>
      <c r="P423" s="49"/>
    </row>
    <row r="424" spans="3:16">
      <c r="C424" s="48"/>
      <c r="D424" s="48"/>
      <c r="E424" s="59"/>
      <c r="K424" s="49"/>
      <c r="L424" s="49"/>
      <c r="O424" s="49"/>
      <c r="P424" s="49"/>
    </row>
    <row r="425" spans="3:16">
      <c r="C425" s="48"/>
      <c r="D425" s="48"/>
      <c r="E425" s="59"/>
      <c r="K425" s="49"/>
      <c r="L425" s="49"/>
      <c r="O425" s="49"/>
      <c r="P425" s="49"/>
    </row>
    <row r="426" spans="3:16">
      <c r="C426" s="48"/>
      <c r="D426" s="48"/>
      <c r="E426" s="59"/>
      <c r="K426" s="49"/>
      <c r="L426" s="49"/>
      <c r="O426" s="49"/>
      <c r="P426" s="49"/>
    </row>
    <row r="427" spans="3:16">
      <c r="C427" s="48"/>
      <c r="D427" s="48"/>
      <c r="E427" s="59"/>
      <c r="K427" s="49"/>
      <c r="L427" s="49"/>
      <c r="O427" s="49"/>
      <c r="P427" s="49"/>
    </row>
    <row r="428" spans="3:16">
      <c r="C428" s="48"/>
      <c r="D428" s="48"/>
      <c r="E428" s="59"/>
      <c r="K428" s="49"/>
      <c r="L428" s="49"/>
      <c r="O428" s="49"/>
      <c r="P428" s="49"/>
    </row>
    <row r="429" spans="3:16">
      <c r="C429" s="48"/>
      <c r="D429" s="48"/>
      <c r="E429" s="59"/>
      <c r="K429" s="49"/>
      <c r="L429" s="49"/>
      <c r="O429" s="49"/>
      <c r="P429" s="49"/>
    </row>
    <row r="430" spans="3:16">
      <c r="C430" s="48"/>
      <c r="D430" s="48"/>
      <c r="E430" s="59"/>
      <c r="K430" s="49"/>
      <c r="L430" s="49"/>
      <c r="O430" s="49"/>
      <c r="P430" s="49"/>
    </row>
    <row r="431" spans="3:16">
      <c r="C431" s="48"/>
      <c r="D431" s="48"/>
      <c r="E431" s="59"/>
      <c r="K431" s="49"/>
      <c r="L431" s="49"/>
      <c r="O431" s="49"/>
      <c r="P431" s="49"/>
    </row>
    <row r="432" spans="3:16">
      <c r="C432" s="48"/>
      <c r="D432" s="48"/>
      <c r="E432" s="59"/>
      <c r="K432" s="49"/>
      <c r="L432" s="49"/>
      <c r="O432" s="49"/>
      <c r="P432" s="49"/>
    </row>
    <row r="433" spans="3:16">
      <c r="C433" s="48"/>
      <c r="D433" s="48"/>
      <c r="E433" s="59"/>
      <c r="K433" s="49"/>
      <c r="L433" s="49"/>
      <c r="O433" s="49"/>
      <c r="P433" s="49"/>
    </row>
    <row r="434" spans="3:16">
      <c r="C434" s="48"/>
      <c r="D434" s="48"/>
      <c r="E434" s="59"/>
      <c r="K434" s="49"/>
      <c r="L434" s="49"/>
      <c r="O434" s="49"/>
      <c r="P434" s="49"/>
    </row>
    <row r="435" spans="3:16">
      <c r="C435" s="48"/>
      <c r="D435" s="48"/>
      <c r="E435" s="59"/>
      <c r="K435" s="49"/>
      <c r="L435" s="49"/>
      <c r="O435" s="49"/>
      <c r="P435" s="49"/>
    </row>
    <row r="436" spans="3:16">
      <c r="C436" s="48"/>
      <c r="D436" s="48"/>
      <c r="E436" s="59"/>
      <c r="K436" s="49"/>
      <c r="L436" s="49"/>
      <c r="O436" s="49"/>
      <c r="P436" s="49"/>
    </row>
    <row r="437" spans="3:16">
      <c r="C437" s="48"/>
      <c r="D437" s="48"/>
      <c r="E437" s="59"/>
      <c r="K437" s="49"/>
      <c r="L437" s="49"/>
      <c r="O437" s="49"/>
      <c r="P437" s="49"/>
    </row>
    <row r="438" spans="3:16">
      <c r="C438" s="48"/>
      <c r="D438" s="48"/>
      <c r="E438" s="59"/>
      <c r="K438" s="49"/>
      <c r="L438" s="49"/>
      <c r="O438" s="49"/>
      <c r="P438" s="49"/>
    </row>
    <row r="439" spans="3:16">
      <c r="C439" s="48"/>
      <c r="D439" s="48"/>
      <c r="E439" s="59"/>
      <c r="K439" s="49"/>
      <c r="L439" s="49"/>
      <c r="O439" s="49"/>
      <c r="P439" s="49"/>
    </row>
    <row r="440" spans="3:16">
      <c r="C440" s="48"/>
      <c r="D440" s="48"/>
      <c r="E440" s="59"/>
      <c r="K440" s="49"/>
      <c r="L440" s="49"/>
      <c r="O440" s="49"/>
      <c r="P440" s="49"/>
    </row>
    <row r="441" spans="3:16">
      <c r="C441" s="48"/>
      <c r="D441" s="48"/>
      <c r="E441" s="59"/>
      <c r="K441" s="49"/>
      <c r="L441" s="49"/>
      <c r="O441" s="49"/>
      <c r="P441" s="49"/>
    </row>
    <row r="442" spans="3:16">
      <c r="C442" s="48"/>
      <c r="D442" s="48"/>
      <c r="E442" s="59"/>
      <c r="K442" s="49"/>
      <c r="L442" s="49"/>
      <c r="O442" s="49"/>
      <c r="P442" s="49"/>
    </row>
    <row r="443" spans="3:16">
      <c r="C443" s="48"/>
      <c r="D443" s="48"/>
      <c r="E443" s="59"/>
      <c r="K443" s="49"/>
      <c r="L443" s="49"/>
      <c r="O443" s="49"/>
      <c r="P443" s="49"/>
    </row>
    <row r="444" spans="3:16">
      <c r="C444" s="48"/>
      <c r="D444" s="48"/>
      <c r="E444" s="59"/>
      <c r="K444" s="49"/>
      <c r="L444" s="49"/>
      <c r="O444" s="49"/>
      <c r="P444" s="49"/>
    </row>
    <row r="445" spans="3:16">
      <c r="C445" s="48"/>
      <c r="D445" s="48"/>
      <c r="E445" s="59"/>
      <c r="K445" s="49"/>
      <c r="L445" s="49"/>
      <c r="O445" s="49"/>
      <c r="P445" s="49"/>
    </row>
    <row r="446" spans="3:16">
      <c r="C446" s="48"/>
      <c r="D446" s="48"/>
      <c r="E446" s="59"/>
      <c r="K446" s="49"/>
      <c r="L446" s="49"/>
      <c r="O446" s="49"/>
      <c r="P446" s="49"/>
    </row>
    <row r="447" spans="3:16">
      <c r="C447" s="48"/>
      <c r="D447" s="48"/>
      <c r="E447" s="59"/>
      <c r="K447" s="49"/>
      <c r="L447" s="49"/>
      <c r="O447" s="49"/>
      <c r="P447" s="49"/>
    </row>
    <row r="448" spans="3:16">
      <c r="C448" s="48"/>
      <c r="D448" s="48"/>
      <c r="E448" s="59"/>
      <c r="K448" s="49"/>
      <c r="L448" s="49"/>
      <c r="O448" s="49"/>
      <c r="P448" s="49"/>
    </row>
    <row r="449" spans="3:16">
      <c r="C449" s="48"/>
      <c r="D449" s="48"/>
      <c r="E449" s="59"/>
      <c r="K449" s="49"/>
      <c r="L449" s="49"/>
      <c r="O449" s="49"/>
      <c r="P449" s="49"/>
    </row>
    <row r="450" spans="3:16">
      <c r="C450" s="48"/>
      <c r="D450" s="48"/>
      <c r="E450" s="59"/>
      <c r="K450" s="49"/>
      <c r="L450" s="49"/>
      <c r="O450" s="49"/>
      <c r="P450" s="49"/>
    </row>
    <row r="451" spans="3:16">
      <c r="C451" s="48"/>
      <c r="D451" s="48"/>
      <c r="E451" s="59"/>
      <c r="K451" s="49"/>
      <c r="L451" s="49"/>
      <c r="O451" s="49"/>
      <c r="P451" s="49"/>
    </row>
    <row r="452" spans="3:16">
      <c r="C452" s="48"/>
      <c r="D452" s="48"/>
      <c r="E452" s="59"/>
      <c r="K452" s="49"/>
      <c r="L452" s="49"/>
      <c r="O452" s="49"/>
      <c r="P452" s="49"/>
    </row>
    <row r="453" spans="3:16">
      <c r="C453" s="48"/>
      <c r="D453" s="48"/>
      <c r="E453" s="59"/>
      <c r="K453" s="49"/>
      <c r="L453" s="49"/>
      <c r="O453" s="49"/>
      <c r="P453" s="49"/>
    </row>
    <row r="454" spans="3:16">
      <c r="C454" s="48"/>
      <c r="D454" s="48"/>
      <c r="E454" s="59"/>
      <c r="K454" s="49"/>
      <c r="L454" s="49"/>
      <c r="O454" s="49"/>
      <c r="P454" s="49"/>
    </row>
    <row r="455" spans="3:16">
      <c r="C455" s="48"/>
      <c r="D455" s="48"/>
      <c r="E455" s="59"/>
      <c r="K455" s="49"/>
      <c r="L455" s="49"/>
      <c r="O455" s="49"/>
      <c r="P455" s="49"/>
    </row>
    <row r="456" spans="3:16">
      <c r="C456" s="48"/>
      <c r="D456" s="48"/>
      <c r="E456" s="59"/>
      <c r="K456" s="49"/>
      <c r="L456" s="49"/>
      <c r="O456" s="49"/>
      <c r="P456" s="49"/>
    </row>
    <row r="457" spans="3:16">
      <c r="C457" s="48"/>
      <c r="D457" s="48"/>
      <c r="E457" s="59"/>
      <c r="K457" s="49"/>
      <c r="L457" s="49"/>
      <c r="O457" s="49"/>
      <c r="P457" s="49"/>
    </row>
    <row r="458" spans="3:16">
      <c r="C458" s="48"/>
      <c r="D458" s="48"/>
      <c r="E458" s="59"/>
      <c r="K458" s="49"/>
      <c r="L458" s="49"/>
      <c r="O458" s="49"/>
      <c r="P458" s="49"/>
    </row>
    <row r="459" spans="3:16">
      <c r="C459" s="48"/>
      <c r="D459" s="48"/>
      <c r="E459" s="59"/>
      <c r="K459" s="49"/>
      <c r="L459" s="49"/>
      <c r="O459" s="49"/>
      <c r="P459" s="49"/>
    </row>
    <row r="460" spans="3:16">
      <c r="C460" s="48"/>
      <c r="D460" s="48"/>
      <c r="E460" s="59"/>
      <c r="K460" s="49"/>
      <c r="L460" s="49"/>
      <c r="O460" s="49"/>
      <c r="P460" s="49"/>
    </row>
    <row r="461" spans="3:16">
      <c r="C461" s="48"/>
      <c r="D461" s="48"/>
      <c r="E461" s="59"/>
      <c r="K461" s="49"/>
      <c r="L461" s="49"/>
      <c r="O461" s="49"/>
      <c r="P461" s="49"/>
    </row>
    <row r="462" spans="3:16">
      <c r="C462" s="48"/>
      <c r="D462" s="48"/>
      <c r="E462" s="59"/>
      <c r="K462" s="49"/>
      <c r="L462" s="49"/>
      <c r="O462" s="49"/>
      <c r="P462" s="49"/>
    </row>
    <row r="463" spans="3:16">
      <c r="C463" s="48"/>
      <c r="D463" s="48"/>
      <c r="E463" s="59"/>
      <c r="K463" s="49"/>
      <c r="L463" s="49"/>
      <c r="O463" s="49"/>
      <c r="P463" s="49"/>
    </row>
    <row r="464" spans="3:16">
      <c r="C464" s="48"/>
      <c r="D464" s="48"/>
      <c r="E464" s="59"/>
      <c r="K464" s="49"/>
      <c r="L464" s="49"/>
      <c r="O464" s="49"/>
      <c r="P464" s="49"/>
    </row>
    <row r="465" spans="3:16">
      <c r="C465" s="48"/>
      <c r="D465" s="48"/>
      <c r="E465" s="59"/>
      <c r="K465" s="49"/>
      <c r="L465" s="49"/>
      <c r="O465" s="49"/>
      <c r="P465" s="49"/>
    </row>
    <row r="466" spans="3:16">
      <c r="C466" s="48"/>
      <c r="D466" s="48"/>
      <c r="E466" s="59"/>
      <c r="K466" s="49"/>
      <c r="L466" s="49"/>
      <c r="O466" s="49"/>
      <c r="P466" s="49"/>
    </row>
    <row r="467" spans="3:16">
      <c r="C467" s="48"/>
      <c r="D467" s="48"/>
      <c r="E467" s="59"/>
      <c r="K467" s="49"/>
      <c r="L467" s="49"/>
      <c r="O467" s="49"/>
      <c r="P467" s="49"/>
    </row>
    <row r="468" spans="3:16">
      <c r="C468" s="48"/>
      <c r="D468" s="48"/>
      <c r="E468" s="59"/>
      <c r="K468" s="49"/>
      <c r="L468" s="49"/>
      <c r="O468" s="49"/>
      <c r="P468" s="49"/>
    </row>
    <row r="469" spans="3:16">
      <c r="C469" s="48"/>
      <c r="D469" s="48"/>
      <c r="E469" s="59"/>
      <c r="K469" s="49"/>
      <c r="L469" s="49"/>
      <c r="O469" s="49"/>
      <c r="P469" s="49"/>
    </row>
    <row r="470" spans="3:16">
      <c r="C470" s="48"/>
      <c r="D470" s="48"/>
      <c r="E470" s="59"/>
      <c r="K470" s="49"/>
      <c r="L470" s="49"/>
      <c r="O470" s="49"/>
      <c r="P470" s="49"/>
    </row>
    <row r="471" spans="3:16">
      <c r="C471" s="48"/>
      <c r="D471" s="48"/>
      <c r="E471" s="59"/>
      <c r="K471" s="49"/>
      <c r="L471" s="49"/>
      <c r="O471" s="49"/>
      <c r="P471" s="49"/>
    </row>
    <row r="472" spans="3:16">
      <c r="C472" s="48"/>
      <c r="D472" s="48"/>
      <c r="E472" s="59"/>
      <c r="K472" s="49"/>
      <c r="L472" s="49"/>
      <c r="O472" s="49"/>
      <c r="P472" s="49"/>
    </row>
    <row r="473" spans="3:16">
      <c r="C473" s="48"/>
      <c r="D473" s="48"/>
      <c r="E473" s="59"/>
      <c r="K473" s="49"/>
      <c r="L473" s="49"/>
      <c r="O473" s="49"/>
      <c r="P473" s="49"/>
    </row>
    <row r="474" spans="3:16">
      <c r="C474" s="48"/>
      <c r="D474" s="48"/>
      <c r="E474" s="59"/>
      <c r="K474" s="49"/>
      <c r="L474" s="49"/>
      <c r="O474" s="49"/>
      <c r="P474" s="49"/>
    </row>
    <row r="475" spans="3:16">
      <c r="C475" s="48"/>
      <c r="D475" s="48"/>
      <c r="E475" s="59"/>
      <c r="K475" s="49"/>
      <c r="L475" s="49"/>
      <c r="O475" s="49"/>
      <c r="P475" s="49"/>
    </row>
    <row r="476" spans="3:16">
      <c r="C476" s="48"/>
      <c r="D476" s="48"/>
      <c r="E476" s="59"/>
      <c r="K476" s="49"/>
      <c r="L476" s="49"/>
      <c r="O476" s="49"/>
      <c r="P476" s="49"/>
    </row>
    <row r="477" spans="3:16">
      <c r="C477" s="48"/>
      <c r="D477" s="48"/>
      <c r="E477" s="59"/>
      <c r="K477" s="49"/>
      <c r="L477" s="49"/>
      <c r="O477" s="49"/>
      <c r="P477" s="49"/>
    </row>
    <row r="478" spans="3:16">
      <c r="C478" s="48"/>
      <c r="D478" s="48"/>
      <c r="E478" s="59"/>
      <c r="K478" s="49"/>
      <c r="L478" s="49"/>
      <c r="O478" s="49"/>
      <c r="P478" s="49"/>
    </row>
    <row r="479" spans="3:16">
      <c r="C479" s="48"/>
      <c r="D479" s="48"/>
      <c r="E479" s="59"/>
      <c r="K479" s="49"/>
      <c r="L479" s="49"/>
      <c r="O479" s="49"/>
      <c r="P479" s="49"/>
    </row>
    <row r="480" spans="3:16">
      <c r="C480" s="48"/>
      <c r="D480" s="48"/>
      <c r="E480" s="59"/>
      <c r="K480" s="49"/>
      <c r="L480" s="49"/>
      <c r="O480" s="49"/>
      <c r="P480" s="49"/>
    </row>
    <row r="481" spans="3:16">
      <c r="C481" s="48"/>
      <c r="D481" s="48"/>
      <c r="E481" s="59"/>
      <c r="K481" s="49"/>
      <c r="L481" s="49"/>
      <c r="O481" s="49"/>
      <c r="P481" s="49"/>
    </row>
    <row r="482" spans="3:16">
      <c r="C482" s="48"/>
      <c r="D482" s="48"/>
      <c r="E482" s="59"/>
      <c r="K482" s="49"/>
      <c r="L482" s="49"/>
      <c r="O482" s="49"/>
      <c r="P482" s="49"/>
    </row>
    <row r="483" spans="3:16">
      <c r="C483" s="48"/>
      <c r="D483" s="48"/>
      <c r="E483" s="59"/>
      <c r="K483" s="49"/>
      <c r="L483" s="49"/>
      <c r="O483" s="49"/>
      <c r="P483" s="49"/>
    </row>
    <row r="484" spans="3:16">
      <c r="C484" s="48"/>
      <c r="D484" s="48"/>
      <c r="E484" s="59"/>
      <c r="K484" s="49"/>
      <c r="L484" s="49"/>
      <c r="O484" s="49"/>
      <c r="P484" s="49"/>
    </row>
    <row r="485" spans="3:16">
      <c r="C485" s="48"/>
      <c r="D485" s="48"/>
      <c r="E485" s="59"/>
      <c r="K485" s="49"/>
      <c r="L485" s="49"/>
      <c r="O485" s="49"/>
      <c r="P485" s="49"/>
    </row>
    <row r="486" spans="3:16">
      <c r="C486" s="48"/>
      <c r="D486" s="48"/>
      <c r="E486" s="59"/>
      <c r="K486" s="49"/>
      <c r="L486" s="49"/>
      <c r="O486" s="49"/>
      <c r="P486" s="49"/>
    </row>
    <row r="487" spans="3:16">
      <c r="C487" s="48"/>
      <c r="D487" s="48"/>
      <c r="E487" s="59"/>
      <c r="K487" s="49"/>
      <c r="L487" s="49"/>
      <c r="O487" s="49"/>
      <c r="P487" s="49"/>
    </row>
    <row r="488" spans="3:16">
      <c r="C488" s="48"/>
      <c r="D488" s="48"/>
      <c r="E488" s="59"/>
      <c r="K488" s="49"/>
      <c r="L488" s="49"/>
      <c r="O488" s="49"/>
      <c r="P488" s="49"/>
    </row>
    <row r="489" spans="3:16">
      <c r="C489" s="48"/>
      <c r="D489" s="48"/>
      <c r="E489" s="59"/>
      <c r="K489" s="49"/>
      <c r="L489" s="49"/>
      <c r="O489" s="49"/>
      <c r="P489" s="49"/>
    </row>
    <row r="490" spans="3:16">
      <c r="C490" s="48"/>
      <c r="D490" s="48"/>
      <c r="E490" s="59"/>
      <c r="K490" s="49"/>
      <c r="L490" s="49"/>
      <c r="O490" s="49"/>
      <c r="P490" s="49"/>
    </row>
    <row r="491" spans="3:16">
      <c r="C491" s="48"/>
      <c r="D491" s="48"/>
      <c r="E491" s="59"/>
      <c r="K491" s="49"/>
      <c r="L491" s="49"/>
      <c r="O491" s="49"/>
      <c r="P491" s="49"/>
    </row>
    <row r="492" spans="3:16">
      <c r="C492" s="48"/>
      <c r="D492" s="48"/>
      <c r="E492" s="59"/>
      <c r="K492" s="49"/>
      <c r="L492" s="49"/>
      <c r="O492" s="49"/>
      <c r="P492" s="49"/>
    </row>
    <row r="493" spans="3:16">
      <c r="C493" s="48"/>
      <c r="D493" s="48"/>
      <c r="E493" s="59"/>
      <c r="K493" s="49"/>
      <c r="L493" s="49"/>
      <c r="O493" s="49"/>
      <c r="P493" s="49"/>
    </row>
    <row r="494" spans="3:16">
      <c r="C494" s="48"/>
      <c r="D494" s="48"/>
      <c r="E494" s="59"/>
      <c r="K494" s="49"/>
      <c r="L494" s="49"/>
      <c r="O494" s="49"/>
      <c r="P494" s="49"/>
    </row>
    <row r="495" spans="3:16">
      <c r="C495" s="48"/>
      <c r="D495" s="48"/>
      <c r="E495" s="59"/>
      <c r="K495" s="49"/>
      <c r="L495" s="49"/>
      <c r="O495" s="49"/>
      <c r="P495" s="49"/>
    </row>
    <row r="496" spans="3:16">
      <c r="C496" s="48"/>
      <c r="D496" s="48"/>
      <c r="E496" s="59"/>
      <c r="K496" s="49"/>
      <c r="L496" s="49"/>
      <c r="O496" s="49"/>
      <c r="P496" s="49"/>
    </row>
    <row r="497" spans="3:16">
      <c r="C497" s="48"/>
      <c r="D497" s="48"/>
      <c r="E497" s="59"/>
      <c r="K497" s="49"/>
      <c r="L497" s="49"/>
      <c r="O497" s="49"/>
      <c r="P497" s="49"/>
    </row>
    <row r="498" spans="3:16">
      <c r="C498" s="48"/>
      <c r="D498" s="48"/>
      <c r="E498" s="59"/>
      <c r="K498" s="49"/>
      <c r="L498" s="49"/>
      <c r="O498" s="49"/>
      <c r="P498" s="49"/>
    </row>
    <row r="499" spans="3:16">
      <c r="C499" s="48"/>
      <c r="D499" s="48"/>
      <c r="E499" s="59"/>
      <c r="K499" s="49"/>
      <c r="L499" s="49"/>
      <c r="O499" s="49"/>
      <c r="P499" s="49"/>
    </row>
    <row r="500" spans="3:16">
      <c r="C500" s="48"/>
      <c r="D500" s="48"/>
      <c r="E500" s="59"/>
      <c r="K500" s="49"/>
      <c r="L500" s="49"/>
      <c r="O500" s="49"/>
      <c r="P500" s="49"/>
    </row>
    <row r="501" spans="3:16">
      <c r="C501" s="48"/>
      <c r="D501" s="48"/>
      <c r="E501" s="59"/>
      <c r="K501" s="49"/>
      <c r="L501" s="49"/>
      <c r="O501" s="49"/>
      <c r="P501" s="49"/>
    </row>
    <row r="502" spans="3:16">
      <c r="C502" s="48"/>
      <c r="D502" s="48"/>
      <c r="E502" s="59"/>
      <c r="K502" s="49"/>
      <c r="L502" s="49"/>
      <c r="O502" s="49"/>
      <c r="P502" s="49"/>
    </row>
    <row r="503" spans="3:16">
      <c r="C503" s="48"/>
      <c r="D503" s="48"/>
      <c r="E503" s="59"/>
      <c r="K503" s="49"/>
      <c r="L503" s="49"/>
      <c r="O503" s="49"/>
      <c r="P503" s="49"/>
    </row>
    <row r="504" spans="3:16">
      <c r="C504" s="48"/>
      <c r="D504" s="48"/>
      <c r="E504" s="59"/>
      <c r="K504" s="49"/>
      <c r="L504" s="49"/>
      <c r="O504" s="49"/>
      <c r="P504" s="49"/>
    </row>
    <row r="505" spans="3:16">
      <c r="C505" s="48"/>
      <c r="D505" s="48"/>
      <c r="E505" s="59"/>
      <c r="K505" s="49"/>
      <c r="L505" s="49"/>
      <c r="O505" s="49"/>
      <c r="P505" s="49"/>
    </row>
    <row r="506" spans="3:16">
      <c r="C506" s="48"/>
      <c r="D506" s="48"/>
      <c r="E506" s="59"/>
      <c r="K506" s="49"/>
      <c r="L506" s="49"/>
      <c r="O506" s="49"/>
      <c r="P506" s="49"/>
    </row>
    <row r="507" spans="3:16">
      <c r="C507" s="48"/>
      <c r="D507" s="48"/>
      <c r="E507" s="59"/>
      <c r="K507" s="49"/>
      <c r="L507" s="49"/>
      <c r="O507" s="49"/>
      <c r="P507" s="49"/>
    </row>
    <row r="508" spans="3:16">
      <c r="C508" s="48"/>
      <c r="D508" s="48"/>
      <c r="E508" s="59"/>
      <c r="K508" s="49"/>
      <c r="L508" s="49"/>
      <c r="O508" s="49"/>
      <c r="P508" s="49"/>
    </row>
    <row r="509" spans="3:16">
      <c r="C509" s="48"/>
      <c r="D509" s="48"/>
      <c r="E509" s="59"/>
      <c r="K509" s="49"/>
      <c r="L509" s="49"/>
      <c r="O509" s="49"/>
      <c r="P509" s="49"/>
    </row>
    <row r="510" spans="3:16">
      <c r="C510" s="48"/>
      <c r="D510" s="48"/>
      <c r="E510" s="59"/>
      <c r="K510" s="49"/>
      <c r="L510" s="49"/>
      <c r="O510" s="49"/>
      <c r="P510" s="49"/>
    </row>
    <row r="511" spans="3:16">
      <c r="C511" s="48"/>
      <c r="D511" s="48"/>
      <c r="E511" s="59"/>
      <c r="K511" s="49"/>
      <c r="L511" s="49"/>
      <c r="O511" s="49"/>
      <c r="P511" s="49"/>
    </row>
    <row r="512" spans="3:16">
      <c r="C512" s="48"/>
      <c r="D512" s="48"/>
      <c r="E512" s="59"/>
      <c r="K512" s="49"/>
      <c r="L512" s="49"/>
      <c r="O512" s="49"/>
      <c r="P512" s="49"/>
    </row>
    <row r="513" spans="3:16">
      <c r="C513" s="48"/>
      <c r="D513" s="48"/>
      <c r="E513" s="59"/>
      <c r="K513" s="49"/>
      <c r="L513" s="49"/>
      <c r="O513" s="49"/>
      <c r="P513" s="49"/>
    </row>
    <row r="514" spans="3:16">
      <c r="C514" s="48"/>
      <c r="D514" s="48"/>
      <c r="E514" s="59"/>
      <c r="K514" s="49"/>
      <c r="L514" s="49"/>
      <c r="O514" s="49"/>
      <c r="P514" s="49"/>
    </row>
    <row r="515" spans="3:16">
      <c r="C515" s="48"/>
      <c r="D515" s="48"/>
      <c r="E515" s="59"/>
      <c r="K515" s="49"/>
      <c r="L515" s="49"/>
      <c r="O515" s="49"/>
      <c r="P515" s="49"/>
    </row>
    <row r="516" spans="3:16">
      <c r="C516" s="48"/>
      <c r="D516" s="48"/>
      <c r="E516" s="59"/>
      <c r="K516" s="49"/>
      <c r="L516" s="49"/>
      <c r="O516" s="49"/>
      <c r="P516" s="49"/>
    </row>
    <row r="517" spans="3:16">
      <c r="C517" s="48"/>
      <c r="D517" s="48"/>
      <c r="E517" s="59"/>
      <c r="K517" s="49"/>
      <c r="L517" s="49"/>
      <c r="O517" s="49"/>
      <c r="P517" s="49"/>
    </row>
    <row r="518" spans="3:16">
      <c r="C518" s="48"/>
      <c r="D518" s="48"/>
      <c r="E518" s="59"/>
      <c r="K518" s="49"/>
      <c r="L518" s="49"/>
      <c r="O518" s="49"/>
      <c r="P518" s="49"/>
    </row>
    <row r="519" spans="3:16">
      <c r="C519" s="48"/>
      <c r="D519" s="48"/>
      <c r="E519" s="59"/>
      <c r="K519" s="49"/>
      <c r="L519" s="49"/>
      <c r="O519" s="49"/>
      <c r="P519" s="49"/>
    </row>
    <row r="520" spans="3:16">
      <c r="C520" s="48"/>
      <c r="D520" s="48"/>
      <c r="E520" s="59"/>
      <c r="K520" s="49"/>
      <c r="L520" s="49"/>
      <c r="O520" s="49"/>
      <c r="P520" s="49"/>
    </row>
    <row r="521" spans="3:16">
      <c r="C521" s="48"/>
      <c r="D521" s="48"/>
      <c r="E521" s="59"/>
      <c r="K521" s="49"/>
      <c r="L521" s="49"/>
      <c r="O521" s="49"/>
      <c r="P521" s="49"/>
    </row>
    <row r="522" spans="3:16">
      <c r="C522" s="48"/>
      <c r="D522" s="48"/>
      <c r="E522" s="59"/>
      <c r="K522" s="49"/>
      <c r="L522" s="49"/>
      <c r="O522" s="49"/>
      <c r="P522" s="49"/>
    </row>
    <row r="523" spans="3:16">
      <c r="C523" s="48"/>
      <c r="D523" s="48"/>
      <c r="E523" s="59"/>
      <c r="K523" s="49"/>
      <c r="L523" s="49"/>
      <c r="O523" s="49"/>
      <c r="P523" s="49"/>
    </row>
    <row r="524" spans="3:16">
      <c r="C524" s="48"/>
      <c r="D524" s="48"/>
      <c r="E524" s="59"/>
      <c r="K524" s="49"/>
      <c r="L524" s="49"/>
      <c r="O524" s="49"/>
      <c r="P524" s="49"/>
    </row>
    <row r="525" spans="3:16">
      <c r="C525" s="48"/>
      <c r="D525" s="48"/>
      <c r="E525" s="59"/>
      <c r="K525" s="49"/>
      <c r="L525" s="49"/>
      <c r="O525" s="49"/>
      <c r="P525" s="49"/>
    </row>
    <row r="526" spans="3:16">
      <c r="C526" s="48"/>
      <c r="D526" s="48"/>
      <c r="E526" s="59"/>
      <c r="K526" s="49"/>
      <c r="L526" s="49"/>
      <c r="O526" s="49"/>
      <c r="P526" s="49"/>
    </row>
    <row r="527" spans="3:16">
      <c r="C527" s="48"/>
      <c r="D527" s="48"/>
      <c r="E527" s="59"/>
      <c r="K527" s="49"/>
      <c r="L527" s="49"/>
      <c r="O527" s="49"/>
      <c r="P527" s="49"/>
    </row>
    <row r="528" spans="3:16">
      <c r="C528" s="48"/>
      <c r="D528" s="48"/>
      <c r="E528" s="59"/>
      <c r="K528" s="49"/>
      <c r="L528" s="49"/>
      <c r="O528" s="49"/>
      <c r="P528" s="49"/>
    </row>
    <row r="529" spans="3:16">
      <c r="C529" s="48"/>
      <c r="D529" s="48"/>
      <c r="E529" s="59"/>
      <c r="K529" s="49"/>
      <c r="L529" s="49"/>
      <c r="O529" s="49"/>
      <c r="P529" s="49"/>
    </row>
    <row r="530" spans="3:16">
      <c r="C530" s="48"/>
      <c r="D530" s="48"/>
      <c r="E530" s="59"/>
      <c r="K530" s="49"/>
      <c r="L530" s="49"/>
      <c r="O530" s="49"/>
      <c r="P530" s="49"/>
    </row>
    <row r="531" spans="3:16">
      <c r="C531" s="48"/>
      <c r="D531" s="48"/>
      <c r="E531" s="59"/>
      <c r="K531" s="49"/>
      <c r="L531" s="49"/>
      <c r="O531" s="49"/>
      <c r="P531" s="49"/>
    </row>
    <row r="532" spans="3:16">
      <c r="C532" s="48"/>
      <c r="D532" s="48"/>
      <c r="E532" s="59"/>
      <c r="K532" s="49"/>
      <c r="L532" s="49"/>
      <c r="O532" s="49"/>
      <c r="P532" s="49"/>
    </row>
    <row r="533" spans="3:16">
      <c r="C533" s="48"/>
      <c r="D533" s="48"/>
      <c r="E533" s="59"/>
      <c r="K533" s="49"/>
      <c r="L533" s="49"/>
      <c r="O533" s="49"/>
      <c r="P533" s="49"/>
    </row>
    <row r="534" spans="3:16">
      <c r="C534" s="48"/>
      <c r="D534" s="48"/>
      <c r="E534" s="59"/>
      <c r="K534" s="49"/>
      <c r="L534" s="49"/>
      <c r="O534" s="49"/>
      <c r="P534" s="49"/>
    </row>
    <row r="535" spans="3:16">
      <c r="C535" s="48"/>
      <c r="D535" s="48"/>
      <c r="E535" s="59"/>
      <c r="K535" s="49"/>
      <c r="L535" s="49"/>
      <c r="O535" s="49"/>
      <c r="P535" s="49"/>
    </row>
    <row r="536" spans="3:16">
      <c r="C536" s="48"/>
      <c r="D536" s="48"/>
      <c r="E536" s="59"/>
      <c r="K536" s="49"/>
      <c r="L536" s="49"/>
      <c r="O536" s="49"/>
      <c r="P536" s="49"/>
    </row>
    <row r="537" spans="3:16">
      <c r="C537" s="48"/>
      <c r="D537" s="48"/>
      <c r="E537" s="59"/>
      <c r="K537" s="49"/>
      <c r="L537" s="49"/>
      <c r="O537" s="49"/>
      <c r="P537" s="49"/>
    </row>
    <row r="538" spans="3:16">
      <c r="C538" s="48"/>
      <c r="D538" s="48"/>
      <c r="E538" s="59"/>
      <c r="K538" s="49"/>
      <c r="L538" s="49"/>
      <c r="O538" s="49"/>
      <c r="P538" s="49"/>
    </row>
    <row r="539" spans="3:16">
      <c r="C539" s="48"/>
      <c r="D539" s="48"/>
      <c r="E539" s="59"/>
      <c r="K539" s="49"/>
      <c r="L539" s="49"/>
      <c r="O539" s="49"/>
      <c r="P539" s="49"/>
    </row>
    <row r="540" spans="3:16">
      <c r="C540" s="48"/>
      <c r="D540" s="48"/>
      <c r="E540" s="59"/>
      <c r="K540" s="49"/>
      <c r="L540" s="49"/>
      <c r="O540" s="49"/>
      <c r="P540" s="49"/>
    </row>
    <row r="541" spans="3:16">
      <c r="C541" s="48"/>
      <c r="D541" s="48"/>
      <c r="E541" s="59"/>
      <c r="K541" s="49"/>
      <c r="L541" s="49"/>
      <c r="O541" s="49"/>
      <c r="P541" s="49"/>
    </row>
    <row r="542" spans="3:16">
      <c r="C542" s="48"/>
      <c r="D542" s="48"/>
      <c r="E542" s="59"/>
      <c r="K542" s="49"/>
      <c r="L542" s="49"/>
      <c r="O542" s="49"/>
      <c r="P542" s="49"/>
    </row>
    <row r="543" spans="3:16">
      <c r="C543" s="48"/>
      <c r="D543" s="48"/>
      <c r="E543" s="59"/>
      <c r="K543" s="49"/>
      <c r="L543" s="49"/>
      <c r="O543" s="49"/>
      <c r="P543" s="49"/>
    </row>
    <row r="544" spans="3:16">
      <c r="C544" s="48"/>
      <c r="D544" s="48"/>
      <c r="E544" s="59"/>
      <c r="K544" s="49"/>
      <c r="L544" s="49"/>
      <c r="O544" s="49"/>
      <c r="P544" s="49"/>
    </row>
    <row r="545" spans="3:16">
      <c r="C545" s="48"/>
      <c r="D545" s="48"/>
      <c r="E545" s="59"/>
      <c r="K545" s="49"/>
      <c r="L545" s="49"/>
      <c r="O545" s="49"/>
      <c r="P545" s="49"/>
    </row>
    <row r="546" spans="3:16">
      <c r="C546" s="48"/>
      <c r="D546" s="48"/>
      <c r="E546" s="59"/>
      <c r="K546" s="49"/>
      <c r="L546" s="49"/>
      <c r="O546" s="49"/>
      <c r="P546" s="49"/>
    </row>
    <row r="547" spans="3:16">
      <c r="C547" s="48"/>
      <c r="D547" s="48"/>
      <c r="E547" s="59"/>
      <c r="K547" s="49"/>
      <c r="L547" s="49"/>
      <c r="O547" s="49"/>
      <c r="P547" s="49"/>
    </row>
    <row r="548" spans="3:16">
      <c r="C548" s="48"/>
      <c r="D548" s="48"/>
      <c r="E548" s="59"/>
      <c r="K548" s="49"/>
      <c r="L548" s="49"/>
      <c r="O548" s="49"/>
      <c r="P548" s="49"/>
    </row>
    <row r="549" spans="3:16">
      <c r="C549" s="48"/>
      <c r="D549" s="48"/>
      <c r="E549" s="59"/>
      <c r="K549" s="49"/>
      <c r="L549" s="49"/>
      <c r="O549" s="49"/>
      <c r="P549" s="49"/>
    </row>
    <row r="550" spans="3:16">
      <c r="C550" s="48"/>
      <c r="D550" s="48"/>
      <c r="E550" s="59"/>
      <c r="K550" s="49"/>
      <c r="L550" s="49"/>
      <c r="O550" s="49"/>
      <c r="P550" s="49"/>
    </row>
    <row r="551" spans="3:16">
      <c r="C551" s="48"/>
      <c r="D551" s="48"/>
      <c r="E551" s="59"/>
      <c r="K551" s="49"/>
      <c r="L551" s="49"/>
      <c r="O551" s="49"/>
      <c r="P551" s="49"/>
    </row>
    <row r="552" spans="3:16">
      <c r="C552" s="48"/>
      <c r="D552" s="48"/>
      <c r="E552" s="59"/>
      <c r="K552" s="49"/>
      <c r="L552" s="49"/>
      <c r="O552" s="49"/>
      <c r="P552" s="49"/>
    </row>
    <row r="553" spans="3:16">
      <c r="C553" s="48"/>
      <c r="D553" s="48"/>
      <c r="E553" s="59"/>
      <c r="K553" s="49"/>
      <c r="L553" s="49"/>
      <c r="O553" s="49"/>
      <c r="P553" s="49"/>
    </row>
    <row r="554" spans="3:16">
      <c r="C554" s="48"/>
      <c r="D554" s="48"/>
      <c r="E554" s="59"/>
      <c r="K554" s="49"/>
      <c r="L554" s="49"/>
      <c r="O554" s="49"/>
      <c r="P554" s="49"/>
    </row>
    <row r="555" spans="3:16">
      <c r="C555" s="48"/>
      <c r="D555" s="48"/>
      <c r="E555" s="59"/>
      <c r="K555" s="49"/>
      <c r="L555" s="49"/>
      <c r="O555" s="49"/>
      <c r="P555" s="49"/>
    </row>
    <row r="556" spans="3:16">
      <c r="C556" s="48"/>
      <c r="D556" s="48"/>
      <c r="E556" s="59"/>
      <c r="K556" s="49"/>
      <c r="L556" s="49"/>
      <c r="O556" s="49"/>
      <c r="P556" s="49"/>
    </row>
    <row r="557" spans="3:16">
      <c r="C557" s="48"/>
      <c r="D557" s="48"/>
      <c r="E557" s="59"/>
      <c r="K557" s="49"/>
      <c r="L557" s="49"/>
      <c r="O557" s="49"/>
      <c r="P557" s="49"/>
    </row>
    <row r="558" spans="3:16">
      <c r="C558" s="48"/>
      <c r="D558" s="48"/>
      <c r="E558" s="59"/>
      <c r="K558" s="49"/>
      <c r="L558" s="49"/>
      <c r="O558" s="49"/>
      <c r="P558" s="49"/>
    </row>
    <row r="559" spans="3:16">
      <c r="C559" s="48"/>
      <c r="D559" s="48"/>
      <c r="E559" s="59"/>
      <c r="K559" s="49"/>
      <c r="L559" s="49"/>
      <c r="O559" s="49"/>
      <c r="P559" s="49"/>
    </row>
    <row r="560" spans="3:16">
      <c r="C560" s="48"/>
      <c r="D560" s="48"/>
      <c r="E560" s="59"/>
      <c r="K560" s="49"/>
      <c r="L560" s="49"/>
      <c r="O560" s="49"/>
      <c r="P560" s="49"/>
    </row>
    <row r="561" spans="3:16">
      <c r="C561" s="48"/>
      <c r="D561" s="48"/>
      <c r="E561" s="59"/>
      <c r="K561" s="49"/>
      <c r="L561" s="49"/>
      <c r="O561" s="49"/>
      <c r="P561" s="49"/>
    </row>
    <row r="562" spans="3:16">
      <c r="C562" s="48"/>
      <c r="D562" s="48"/>
      <c r="E562" s="59"/>
      <c r="K562" s="49"/>
      <c r="L562" s="49"/>
      <c r="O562" s="49"/>
      <c r="P562" s="49"/>
    </row>
    <row r="563" spans="3:16">
      <c r="C563" s="48"/>
      <c r="D563" s="48"/>
      <c r="E563" s="59"/>
      <c r="K563" s="49"/>
      <c r="L563" s="49"/>
      <c r="O563" s="49"/>
      <c r="P563" s="49"/>
    </row>
    <row r="564" spans="3:16">
      <c r="C564" s="48"/>
      <c r="D564" s="48"/>
      <c r="E564" s="59"/>
      <c r="K564" s="49"/>
      <c r="L564" s="49"/>
      <c r="O564" s="49"/>
      <c r="P564" s="49"/>
    </row>
    <row r="565" spans="3:16">
      <c r="C565" s="48"/>
      <c r="D565" s="48"/>
      <c r="E565" s="59"/>
      <c r="K565" s="49"/>
      <c r="L565" s="49"/>
      <c r="O565" s="49"/>
      <c r="P565" s="49"/>
    </row>
    <row r="566" spans="3:16">
      <c r="C566" s="48"/>
      <c r="D566" s="48"/>
      <c r="E566" s="59"/>
      <c r="K566" s="49"/>
      <c r="L566" s="49"/>
      <c r="O566" s="49"/>
      <c r="P566" s="49"/>
    </row>
    <row r="567" spans="3:16">
      <c r="C567" s="48"/>
      <c r="D567" s="48"/>
      <c r="E567" s="59"/>
      <c r="K567" s="49"/>
      <c r="L567" s="49"/>
      <c r="O567" s="49"/>
      <c r="P567" s="49"/>
    </row>
    <row r="568" spans="3:16">
      <c r="C568" s="48"/>
      <c r="D568" s="48"/>
      <c r="E568" s="59"/>
      <c r="K568" s="49"/>
      <c r="L568" s="49"/>
      <c r="O568" s="49"/>
      <c r="P568" s="49"/>
    </row>
    <row r="569" spans="3:16">
      <c r="C569" s="48"/>
      <c r="D569" s="48"/>
      <c r="E569" s="59"/>
      <c r="K569" s="49"/>
      <c r="L569" s="49"/>
      <c r="O569" s="49"/>
      <c r="P569" s="49"/>
    </row>
    <row r="570" spans="3:16">
      <c r="C570" s="48"/>
      <c r="D570" s="48"/>
      <c r="E570" s="59"/>
      <c r="K570" s="49"/>
      <c r="L570" s="49"/>
      <c r="O570" s="49"/>
      <c r="P570" s="49"/>
    </row>
    <row r="571" spans="3:16">
      <c r="C571" s="48"/>
      <c r="D571" s="48"/>
      <c r="E571" s="59"/>
      <c r="K571" s="49"/>
      <c r="L571" s="49"/>
      <c r="O571" s="49"/>
      <c r="P571" s="49"/>
    </row>
    <row r="572" spans="3:16">
      <c r="C572" s="48"/>
      <c r="D572" s="48"/>
      <c r="E572" s="59"/>
      <c r="K572" s="49"/>
      <c r="L572" s="49"/>
      <c r="O572" s="49"/>
      <c r="P572" s="49"/>
    </row>
    <row r="573" spans="3:16">
      <c r="C573" s="48"/>
      <c r="D573" s="48"/>
      <c r="E573" s="59"/>
      <c r="K573" s="49"/>
      <c r="L573" s="49"/>
      <c r="O573" s="49"/>
      <c r="P573" s="49"/>
    </row>
    <row r="574" spans="3:16">
      <c r="C574" s="48"/>
      <c r="D574" s="48"/>
      <c r="E574" s="59"/>
      <c r="K574" s="49"/>
      <c r="L574" s="49"/>
      <c r="O574" s="49"/>
      <c r="P574" s="49"/>
    </row>
    <row r="575" spans="3:16">
      <c r="C575" s="48"/>
      <c r="D575" s="48"/>
      <c r="E575" s="59"/>
      <c r="K575" s="49"/>
      <c r="L575" s="49"/>
      <c r="O575" s="49"/>
      <c r="P575" s="49"/>
    </row>
    <row r="576" spans="3:16">
      <c r="C576" s="48"/>
      <c r="D576" s="48"/>
      <c r="E576" s="59"/>
      <c r="K576" s="49"/>
      <c r="L576" s="49"/>
      <c r="O576" s="49"/>
      <c r="P576" s="49"/>
    </row>
    <row r="577" spans="3:16">
      <c r="C577" s="48"/>
      <c r="D577" s="48"/>
      <c r="E577" s="59"/>
      <c r="K577" s="49"/>
      <c r="L577" s="49"/>
      <c r="O577" s="49"/>
      <c r="P577" s="49"/>
    </row>
    <row r="578" spans="3:16">
      <c r="C578" s="48"/>
      <c r="D578" s="48"/>
      <c r="E578" s="59"/>
      <c r="K578" s="49"/>
      <c r="L578" s="49"/>
      <c r="O578" s="49"/>
      <c r="P578" s="49"/>
    </row>
    <row r="579" spans="3:16">
      <c r="C579" s="48"/>
      <c r="D579" s="48"/>
      <c r="E579" s="59"/>
      <c r="K579" s="49"/>
      <c r="L579" s="49"/>
      <c r="O579" s="49"/>
      <c r="P579" s="49"/>
    </row>
    <row r="580" spans="3:16">
      <c r="C580" s="48"/>
      <c r="D580" s="48"/>
      <c r="E580" s="59"/>
      <c r="K580" s="49"/>
      <c r="L580" s="49"/>
      <c r="O580" s="49"/>
      <c r="P580" s="49"/>
    </row>
    <row r="581" spans="3:16">
      <c r="C581" s="48"/>
      <c r="D581" s="48"/>
      <c r="E581" s="59"/>
      <c r="K581" s="49"/>
      <c r="L581" s="49"/>
      <c r="O581" s="49"/>
      <c r="P581" s="49"/>
    </row>
    <row r="582" spans="3:16">
      <c r="C582" s="48"/>
      <c r="D582" s="48"/>
      <c r="E582" s="59"/>
      <c r="K582" s="49"/>
      <c r="L582" s="49"/>
      <c r="O582" s="49"/>
      <c r="P582" s="49"/>
    </row>
    <row r="583" spans="3:16">
      <c r="C583" s="48"/>
      <c r="D583" s="48"/>
      <c r="E583" s="59"/>
      <c r="K583" s="49"/>
      <c r="L583" s="49"/>
      <c r="O583" s="49"/>
      <c r="P583" s="49"/>
    </row>
    <row r="584" spans="3:16">
      <c r="C584" s="48"/>
      <c r="D584" s="48"/>
      <c r="E584" s="59"/>
      <c r="K584" s="49"/>
      <c r="L584" s="49"/>
      <c r="O584" s="49"/>
      <c r="P584" s="49"/>
    </row>
    <row r="585" spans="3:16">
      <c r="C585" s="48"/>
      <c r="D585" s="48"/>
      <c r="E585" s="59"/>
      <c r="K585" s="49"/>
      <c r="L585" s="49"/>
      <c r="O585" s="49"/>
      <c r="P585" s="49"/>
    </row>
    <row r="586" spans="3:16">
      <c r="C586" s="48"/>
      <c r="D586" s="48"/>
      <c r="E586" s="59"/>
      <c r="K586" s="49"/>
      <c r="L586" s="49"/>
      <c r="O586" s="49"/>
      <c r="P586" s="49"/>
    </row>
    <row r="587" spans="3:16">
      <c r="C587" s="48"/>
      <c r="D587" s="48"/>
      <c r="E587" s="59"/>
      <c r="K587" s="49"/>
      <c r="L587" s="49"/>
      <c r="O587" s="49"/>
      <c r="P587" s="49"/>
    </row>
    <row r="588" spans="3:16">
      <c r="C588" s="48"/>
      <c r="D588" s="48"/>
      <c r="E588" s="59"/>
      <c r="K588" s="49"/>
      <c r="L588" s="49"/>
      <c r="O588" s="49"/>
      <c r="P588" s="49"/>
    </row>
    <row r="589" spans="3:16">
      <c r="C589" s="48"/>
      <c r="D589" s="48"/>
      <c r="E589" s="59"/>
      <c r="K589" s="49"/>
      <c r="L589" s="49"/>
      <c r="O589" s="49"/>
      <c r="P589" s="49"/>
    </row>
    <row r="590" spans="3:16">
      <c r="C590" s="48"/>
      <c r="D590" s="48"/>
      <c r="E590" s="59"/>
      <c r="K590" s="49"/>
      <c r="L590" s="49"/>
      <c r="O590" s="49"/>
      <c r="P590" s="49"/>
    </row>
    <row r="591" spans="3:16">
      <c r="C591" s="48"/>
      <c r="D591" s="48"/>
      <c r="E591" s="59"/>
      <c r="K591" s="49"/>
      <c r="L591" s="49"/>
      <c r="O591" s="49"/>
      <c r="P591" s="49"/>
    </row>
    <row r="592" spans="3:16">
      <c r="C592" s="48"/>
      <c r="D592" s="48"/>
      <c r="E592" s="59"/>
      <c r="K592" s="49"/>
      <c r="L592" s="49"/>
      <c r="O592" s="49"/>
      <c r="P592" s="49"/>
    </row>
    <row r="593" spans="3:16">
      <c r="C593" s="48"/>
      <c r="D593" s="48"/>
      <c r="E593" s="59"/>
      <c r="K593" s="49"/>
      <c r="L593" s="49"/>
      <c r="O593" s="49"/>
      <c r="P593" s="49"/>
    </row>
    <row r="594" spans="3:16">
      <c r="C594" s="48"/>
      <c r="D594" s="48"/>
      <c r="E594" s="59"/>
      <c r="K594" s="49"/>
      <c r="L594" s="49"/>
      <c r="O594" s="49"/>
      <c r="P594" s="49"/>
    </row>
    <row r="595" spans="3:16">
      <c r="C595" s="48"/>
      <c r="D595" s="48"/>
      <c r="E595" s="59"/>
      <c r="K595" s="49"/>
      <c r="L595" s="49"/>
      <c r="O595" s="49"/>
      <c r="P595" s="49"/>
    </row>
    <row r="596" spans="3:16">
      <c r="C596" s="48"/>
      <c r="D596" s="48"/>
      <c r="E596" s="59"/>
      <c r="K596" s="49"/>
      <c r="L596" s="49"/>
      <c r="O596" s="49"/>
      <c r="P596" s="49"/>
    </row>
    <row r="597" spans="3:16">
      <c r="C597" s="48"/>
      <c r="D597" s="48"/>
      <c r="E597" s="59"/>
      <c r="K597" s="49"/>
      <c r="L597" s="49"/>
      <c r="O597" s="49"/>
      <c r="P597" s="49"/>
    </row>
    <row r="598" spans="3:16">
      <c r="C598" s="48"/>
      <c r="D598" s="48"/>
      <c r="E598" s="59"/>
      <c r="K598" s="49"/>
      <c r="L598" s="49"/>
      <c r="O598" s="49"/>
      <c r="P598" s="49"/>
    </row>
    <row r="599" spans="3:16">
      <c r="C599" s="48"/>
      <c r="D599" s="48"/>
      <c r="E599" s="59"/>
      <c r="K599" s="49"/>
      <c r="L599" s="49"/>
      <c r="O599" s="49"/>
      <c r="P599" s="49"/>
    </row>
    <row r="600" spans="3:16">
      <c r="C600" s="48"/>
      <c r="D600" s="48"/>
      <c r="E600" s="59"/>
      <c r="K600" s="49"/>
      <c r="L600" s="49"/>
      <c r="O600" s="49"/>
      <c r="P600" s="49"/>
    </row>
    <row r="601" spans="3:16">
      <c r="C601" s="48"/>
      <c r="D601" s="48"/>
      <c r="E601" s="59"/>
      <c r="K601" s="49"/>
      <c r="L601" s="49"/>
      <c r="O601" s="49"/>
      <c r="P601" s="49"/>
    </row>
    <row r="602" spans="3:16">
      <c r="C602" s="48"/>
      <c r="D602" s="48"/>
      <c r="E602" s="59"/>
      <c r="K602" s="49"/>
      <c r="L602" s="49"/>
      <c r="O602" s="49"/>
      <c r="P602" s="49"/>
    </row>
    <row r="603" spans="3:16">
      <c r="C603" s="48"/>
      <c r="D603" s="48"/>
      <c r="E603" s="59"/>
      <c r="K603" s="49"/>
      <c r="L603" s="49"/>
      <c r="O603" s="49"/>
      <c r="P603" s="49"/>
    </row>
    <row r="604" spans="3:16">
      <c r="C604" s="48"/>
      <c r="D604" s="48"/>
      <c r="E604" s="59"/>
      <c r="K604" s="49"/>
      <c r="L604" s="49"/>
      <c r="O604" s="49"/>
      <c r="P604" s="49"/>
    </row>
    <row r="605" spans="3:16">
      <c r="C605" s="48"/>
      <c r="D605" s="48"/>
      <c r="E605" s="59"/>
      <c r="K605" s="49"/>
      <c r="L605" s="49"/>
      <c r="O605" s="49"/>
      <c r="P605" s="49"/>
    </row>
    <row r="606" spans="3:16">
      <c r="C606" s="48"/>
      <c r="D606" s="48"/>
      <c r="E606" s="59"/>
      <c r="K606" s="49"/>
      <c r="L606" s="49"/>
      <c r="O606" s="49"/>
      <c r="P606" s="49"/>
    </row>
    <row r="607" spans="3:16">
      <c r="C607" s="48"/>
      <c r="D607" s="48"/>
      <c r="E607" s="59"/>
      <c r="K607" s="49"/>
      <c r="L607" s="49"/>
      <c r="O607" s="49"/>
      <c r="P607" s="49"/>
    </row>
    <row r="608" spans="3:16">
      <c r="C608" s="48"/>
      <c r="D608" s="48"/>
      <c r="E608" s="59"/>
      <c r="K608" s="49"/>
      <c r="L608" s="49"/>
      <c r="O608" s="49"/>
      <c r="P608" s="49"/>
    </row>
    <row r="609" spans="3:16">
      <c r="C609" s="48"/>
      <c r="D609" s="48"/>
      <c r="E609" s="59"/>
      <c r="K609" s="49"/>
      <c r="L609" s="49"/>
      <c r="O609" s="49"/>
      <c r="P609" s="49"/>
    </row>
    <row r="610" spans="3:16">
      <c r="C610" s="48"/>
      <c r="D610" s="48"/>
      <c r="E610" s="59"/>
      <c r="K610" s="49"/>
      <c r="L610" s="49"/>
      <c r="O610" s="49"/>
      <c r="P610" s="49"/>
    </row>
    <row r="611" spans="3:16">
      <c r="C611" s="48"/>
      <c r="D611" s="48"/>
      <c r="E611" s="59"/>
      <c r="K611" s="49"/>
      <c r="L611" s="49"/>
      <c r="O611" s="49"/>
      <c r="P611" s="49"/>
    </row>
    <row r="612" spans="3:16">
      <c r="C612" s="48"/>
      <c r="D612" s="48"/>
      <c r="E612" s="59"/>
      <c r="K612" s="49"/>
      <c r="L612" s="49"/>
      <c r="O612" s="49"/>
      <c r="P612" s="49"/>
    </row>
    <row r="613" spans="3:16">
      <c r="C613" s="48"/>
      <c r="D613" s="48"/>
      <c r="E613" s="59"/>
      <c r="K613" s="49"/>
      <c r="L613" s="49"/>
      <c r="O613" s="49"/>
      <c r="P613" s="49"/>
    </row>
    <row r="614" spans="3:16">
      <c r="C614" s="48"/>
      <c r="D614" s="48"/>
      <c r="E614" s="59"/>
      <c r="K614" s="49"/>
      <c r="L614" s="49"/>
      <c r="O614" s="49"/>
      <c r="P614" s="49"/>
    </row>
    <row r="615" spans="3:16">
      <c r="C615" s="48"/>
      <c r="D615" s="48"/>
      <c r="E615" s="59"/>
      <c r="K615" s="49"/>
      <c r="L615" s="49"/>
      <c r="O615" s="49"/>
      <c r="P615" s="49"/>
    </row>
    <row r="616" spans="3:16">
      <c r="C616" s="48"/>
      <c r="D616" s="48"/>
      <c r="E616" s="59"/>
      <c r="K616" s="49"/>
      <c r="L616" s="49"/>
      <c r="O616" s="49"/>
      <c r="P616" s="49"/>
    </row>
    <row r="617" spans="3:16">
      <c r="C617" s="48"/>
      <c r="D617" s="48"/>
      <c r="E617" s="59"/>
      <c r="K617" s="49"/>
      <c r="L617" s="49"/>
      <c r="O617" s="49"/>
      <c r="P617" s="49"/>
    </row>
    <row r="618" spans="3:16">
      <c r="C618" s="48"/>
      <c r="D618" s="48"/>
      <c r="E618" s="59"/>
      <c r="K618" s="49"/>
      <c r="L618" s="49"/>
      <c r="O618" s="49"/>
      <c r="P618" s="49"/>
    </row>
    <row r="619" spans="3:16">
      <c r="C619" s="48"/>
      <c r="D619" s="48"/>
      <c r="E619" s="59"/>
      <c r="K619" s="49"/>
      <c r="L619" s="49"/>
      <c r="O619" s="49"/>
      <c r="P619" s="49"/>
    </row>
    <row r="620" spans="3:16">
      <c r="C620" s="48"/>
      <c r="D620" s="48"/>
      <c r="E620" s="59"/>
      <c r="K620" s="49"/>
      <c r="L620" s="49"/>
      <c r="O620" s="49"/>
      <c r="P620" s="49"/>
    </row>
    <row r="621" spans="3:16">
      <c r="C621" s="48"/>
      <c r="D621" s="48"/>
      <c r="E621" s="59"/>
      <c r="K621" s="49"/>
      <c r="L621" s="49"/>
      <c r="O621" s="49"/>
      <c r="P621" s="49"/>
    </row>
    <row r="622" spans="3:16">
      <c r="C622" s="48"/>
      <c r="D622" s="48"/>
      <c r="E622" s="59"/>
      <c r="K622" s="49"/>
      <c r="L622" s="49"/>
      <c r="O622" s="49"/>
      <c r="P622" s="49"/>
    </row>
    <row r="623" spans="3:16">
      <c r="C623" s="48"/>
      <c r="D623" s="48"/>
      <c r="E623" s="59"/>
      <c r="K623" s="49"/>
      <c r="L623" s="49"/>
      <c r="O623" s="49"/>
      <c r="P623" s="49"/>
    </row>
    <row r="624" spans="3:16">
      <c r="C624" s="48"/>
      <c r="D624" s="48"/>
      <c r="E624" s="59"/>
      <c r="K624" s="49"/>
      <c r="L624" s="49"/>
      <c r="O624" s="49"/>
      <c r="P624" s="49"/>
    </row>
    <row r="625" spans="3:16">
      <c r="C625" s="48"/>
      <c r="D625" s="48"/>
      <c r="E625" s="59"/>
      <c r="K625" s="49"/>
      <c r="L625" s="49"/>
      <c r="O625" s="49"/>
      <c r="P625" s="49"/>
    </row>
    <row r="626" spans="3:16">
      <c r="C626" s="48"/>
      <c r="D626" s="48"/>
      <c r="E626" s="59"/>
      <c r="K626" s="49"/>
      <c r="L626" s="49"/>
      <c r="O626" s="49"/>
      <c r="P626" s="49"/>
    </row>
    <row r="627" spans="3:16">
      <c r="C627" s="48"/>
      <c r="D627" s="48"/>
      <c r="E627" s="59"/>
      <c r="K627" s="49"/>
      <c r="L627" s="49"/>
      <c r="O627" s="49"/>
      <c r="P627" s="49"/>
    </row>
    <row r="628" spans="3:16">
      <c r="C628" s="48"/>
      <c r="D628" s="48"/>
      <c r="E628" s="59"/>
      <c r="K628" s="49"/>
      <c r="L628" s="49"/>
      <c r="O628" s="49"/>
      <c r="P628" s="49"/>
    </row>
    <row r="629" spans="3:16">
      <c r="C629" s="48"/>
      <c r="D629" s="48"/>
      <c r="E629" s="59"/>
      <c r="K629" s="49"/>
      <c r="L629" s="49"/>
      <c r="O629" s="49"/>
      <c r="P629" s="49"/>
    </row>
    <row r="630" spans="3:16">
      <c r="C630" s="48"/>
      <c r="D630" s="48"/>
      <c r="E630" s="59"/>
      <c r="K630" s="49"/>
      <c r="L630" s="49"/>
      <c r="O630" s="49"/>
      <c r="P630" s="49"/>
    </row>
    <row r="631" spans="3:16">
      <c r="C631" s="48"/>
      <c r="D631" s="48"/>
      <c r="E631" s="59"/>
      <c r="K631" s="49"/>
      <c r="L631" s="49"/>
      <c r="O631" s="49"/>
      <c r="P631" s="49"/>
    </row>
    <row r="632" spans="3:16">
      <c r="C632" s="48"/>
      <c r="D632" s="48"/>
      <c r="E632" s="59"/>
      <c r="K632" s="49"/>
      <c r="L632" s="49"/>
      <c r="O632" s="49"/>
      <c r="P632" s="49"/>
    </row>
    <row r="633" spans="3:16">
      <c r="C633" s="48"/>
      <c r="D633" s="48"/>
      <c r="E633" s="59"/>
      <c r="K633" s="49"/>
      <c r="L633" s="49"/>
      <c r="O633" s="49"/>
      <c r="P633" s="49"/>
    </row>
    <row r="634" spans="3:16">
      <c r="C634" s="48"/>
      <c r="D634" s="48"/>
      <c r="E634" s="59"/>
      <c r="K634" s="49"/>
      <c r="L634" s="49"/>
      <c r="O634" s="49"/>
      <c r="P634" s="49"/>
    </row>
    <row r="635" spans="3:16">
      <c r="C635" s="48"/>
      <c r="D635" s="48"/>
      <c r="E635" s="59"/>
      <c r="K635" s="49"/>
      <c r="L635" s="49"/>
      <c r="O635" s="49"/>
      <c r="P635" s="49"/>
    </row>
    <row r="636" spans="3:16">
      <c r="C636" s="48"/>
      <c r="D636" s="48"/>
      <c r="E636" s="59"/>
      <c r="K636" s="49"/>
      <c r="L636" s="49"/>
      <c r="O636" s="49"/>
      <c r="P636" s="49"/>
    </row>
    <row r="637" spans="3:16">
      <c r="C637" s="48"/>
      <c r="D637" s="48"/>
      <c r="E637" s="59"/>
      <c r="K637" s="49"/>
      <c r="L637" s="49"/>
      <c r="O637" s="49"/>
      <c r="P637" s="49"/>
    </row>
    <row r="638" spans="3:16">
      <c r="C638" s="48"/>
      <c r="D638" s="48"/>
      <c r="E638" s="59"/>
      <c r="K638" s="49"/>
      <c r="L638" s="49"/>
      <c r="O638" s="49"/>
      <c r="P638" s="49"/>
    </row>
    <row r="639" spans="3:16">
      <c r="C639" s="48"/>
      <c r="D639" s="48"/>
      <c r="E639" s="59"/>
      <c r="K639" s="49"/>
      <c r="L639" s="49"/>
      <c r="O639" s="49"/>
      <c r="P639" s="49"/>
    </row>
    <row r="640" spans="3:16">
      <c r="C640" s="48"/>
      <c r="D640" s="48"/>
      <c r="E640" s="59"/>
      <c r="K640" s="49"/>
      <c r="L640" s="49"/>
      <c r="O640" s="49"/>
      <c r="P640" s="49"/>
    </row>
    <row r="641" spans="3:16">
      <c r="C641" s="48"/>
      <c r="D641" s="48"/>
      <c r="E641" s="59"/>
      <c r="K641" s="49"/>
      <c r="L641" s="49"/>
      <c r="O641" s="49"/>
      <c r="P641" s="49"/>
    </row>
    <row r="642" spans="3:16">
      <c r="C642" s="48"/>
      <c r="D642" s="48"/>
      <c r="E642" s="59"/>
      <c r="K642" s="49"/>
      <c r="L642" s="49"/>
      <c r="O642" s="49"/>
      <c r="P642" s="49"/>
    </row>
    <row r="643" spans="3:16">
      <c r="C643" s="48"/>
      <c r="D643" s="48"/>
      <c r="E643" s="59"/>
      <c r="K643" s="49"/>
      <c r="L643" s="49"/>
      <c r="O643" s="49"/>
      <c r="P643" s="49"/>
    </row>
    <row r="644" spans="3:16">
      <c r="C644" s="48"/>
      <c r="D644" s="48"/>
      <c r="E644" s="59"/>
      <c r="K644" s="49"/>
      <c r="L644" s="49"/>
      <c r="O644" s="49"/>
      <c r="P644" s="49"/>
    </row>
    <row r="645" spans="3:16">
      <c r="C645" s="48"/>
      <c r="D645" s="48"/>
      <c r="E645" s="59"/>
      <c r="K645" s="49"/>
      <c r="L645" s="49"/>
      <c r="O645" s="49"/>
      <c r="P645" s="49"/>
    </row>
    <row r="646" spans="3:16">
      <c r="C646" s="48"/>
      <c r="D646" s="48"/>
      <c r="E646" s="59"/>
      <c r="K646" s="49"/>
      <c r="L646" s="49"/>
      <c r="O646" s="49"/>
      <c r="P646" s="49"/>
    </row>
    <row r="647" spans="3:16">
      <c r="C647" s="48"/>
      <c r="D647" s="48"/>
      <c r="E647" s="59"/>
      <c r="K647" s="49"/>
      <c r="L647" s="49"/>
      <c r="O647" s="49"/>
      <c r="P647" s="49"/>
    </row>
    <row r="648" spans="3:16">
      <c r="C648" s="48"/>
      <c r="D648" s="48"/>
      <c r="E648" s="59"/>
      <c r="K648" s="49"/>
      <c r="L648" s="49"/>
      <c r="O648" s="49"/>
      <c r="P648" s="49"/>
    </row>
    <row r="649" spans="3:16">
      <c r="C649" s="48"/>
      <c r="D649" s="48"/>
      <c r="E649" s="59"/>
      <c r="K649" s="49"/>
      <c r="L649" s="49"/>
      <c r="O649" s="49"/>
      <c r="P649" s="49"/>
    </row>
    <row r="650" spans="3:16">
      <c r="C650" s="48"/>
      <c r="D650" s="48"/>
      <c r="E650" s="59"/>
      <c r="K650" s="49"/>
      <c r="L650" s="49"/>
      <c r="O650" s="49"/>
      <c r="P650" s="49"/>
    </row>
    <row r="651" spans="3:16">
      <c r="C651" s="48"/>
      <c r="D651" s="48"/>
      <c r="E651" s="59"/>
      <c r="K651" s="49"/>
      <c r="L651" s="49"/>
      <c r="O651" s="49"/>
      <c r="P651" s="49"/>
    </row>
    <row r="652" spans="3:16">
      <c r="C652" s="48"/>
      <c r="D652" s="48"/>
      <c r="E652" s="59"/>
      <c r="K652" s="49"/>
      <c r="L652" s="49"/>
      <c r="O652" s="49"/>
      <c r="P652" s="49"/>
    </row>
    <row r="653" spans="3:16">
      <c r="C653" s="48"/>
      <c r="D653" s="48"/>
      <c r="E653" s="59"/>
      <c r="K653" s="49"/>
      <c r="L653" s="49"/>
      <c r="O653" s="49"/>
      <c r="P653" s="49"/>
    </row>
    <row r="654" spans="3:16">
      <c r="C654" s="48"/>
      <c r="D654" s="48"/>
      <c r="E654" s="59"/>
      <c r="K654" s="49"/>
      <c r="L654" s="49"/>
      <c r="O654" s="49"/>
      <c r="P654" s="49"/>
    </row>
    <row r="655" spans="3:16">
      <c r="C655" s="48"/>
      <c r="D655" s="48"/>
      <c r="E655" s="59"/>
      <c r="K655" s="49"/>
      <c r="L655" s="49"/>
      <c r="O655" s="49"/>
      <c r="P655" s="49"/>
    </row>
    <row r="656" spans="3:16">
      <c r="C656" s="48"/>
      <c r="D656" s="48"/>
      <c r="E656" s="59"/>
      <c r="K656" s="49"/>
      <c r="L656" s="49"/>
      <c r="O656" s="49"/>
      <c r="P656" s="49"/>
    </row>
    <row r="657" spans="3:16">
      <c r="C657" s="48"/>
      <c r="D657" s="48"/>
      <c r="E657" s="59"/>
      <c r="K657" s="49"/>
      <c r="L657" s="49"/>
      <c r="O657" s="49"/>
      <c r="P657" s="49"/>
    </row>
    <row r="658" spans="3:16">
      <c r="C658" s="48"/>
      <c r="D658" s="48"/>
      <c r="E658" s="59"/>
      <c r="K658" s="49"/>
      <c r="L658" s="49"/>
      <c r="O658" s="49"/>
      <c r="P658" s="49"/>
    </row>
    <row r="659" spans="3:16">
      <c r="C659" s="48"/>
      <c r="D659" s="48"/>
      <c r="E659" s="59"/>
      <c r="K659" s="49"/>
      <c r="L659" s="49"/>
      <c r="O659" s="49"/>
      <c r="P659" s="49"/>
    </row>
    <row r="660" spans="3:16">
      <c r="C660" s="48"/>
      <c r="D660" s="48"/>
      <c r="E660" s="59"/>
      <c r="K660" s="49"/>
      <c r="L660" s="49"/>
      <c r="O660" s="49"/>
      <c r="P660" s="49"/>
    </row>
    <row r="661" spans="3:16">
      <c r="C661" s="48"/>
      <c r="D661" s="48"/>
      <c r="E661" s="59"/>
      <c r="K661" s="49"/>
      <c r="L661" s="49"/>
      <c r="O661" s="49"/>
      <c r="P661" s="49"/>
    </row>
    <row r="662" spans="3:16">
      <c r="C662" s="48"/>
      <c r="D662" s="48"/>
      <c r="E662" s="59"/>
      <c r="K662" s="49"/>
      <c r="L662" s="49"/>
      <c r="O662" s="49"/>
      <c r="P662" s="49"/>
    </row>
    <row r="663" spans="3:16">
      <c r="C663" s="48"/>
      <c r="D663" s="48"/>
      <c r="E663" s="59"/>
      <c r="K663" s="49"/>
      <c r="L663" s="49"/>
      <c r="O663" s="49"/>
      <c r="P663" s="49"/>
    </row>
    <row r="664" spans="3:16">
      <c r="C664" s="48"/>
      <c r="D664" s="48"/>
      <c r="E664" s="59"/>
      <c r="K664" s="49"/>
      <c r="L664" s="49"/>
      <c r="O664" s="49"/>
      <c r="P664" s="49"/>
    </row>
    <row r="665" spans="3:16">
      <c r="C665" s="48"/>
      <c r="D665" s="48"/>
      <c r="E665" s="59"/>
      <c r="K665" s="49"/>
      <c r="L665" s="49"/>
      <c r="O665" s="49"/>
      <c r="P665" s="49"/>
    </row>
    <row r="666" spans="3:16">
      <c r="C666" s="48"/>
      <c r="D666" s="48"/>
      <c r="E666" s="59"/>
      <c r="K666" s="49"/>
      <c r="L666" s="49"/>
      <c r="O666" s="49"/>
      <c r="P666" s="49"/>
    </row>
    <row r="667" spans="3:16">
      <c r="C667" s="48"/>
      <c r="D667" s="48"/>
      <c r="E667" s="59"/>
      <c r="K667" s="49"/>
      <c r="L667" s="49"/>
      <c r="O667" s="49"/>
      <c r="P667" s="49"/>
    </row>
    <row r="668" spans="3:16">
      <c r="C668" s="48"/>
      <c r="D668" s="48"/>
      <c r="E668" s="59"/>
      <c r="K668" s="49"/>
      <c r="L668" s="49"/>
      <c r="O668" s="49"/>
      <c r="P668" s="49"/>
    </row>
    <row r="669" spans="3:16">
      <c r="C669" s="48"/>
      <c r="D669" s="48"/>
      <c r="E669" s="59"/>
      <c r="K669" s="49"/>
      <c r="L669" s="49"/>
      <c r="O669" s="49"/>
      <c r="P669" s="49"/>
    </row>
    <row r="670" spans="3:16">
      <c r="C670" s="48"/>
      <c r="D670" s="48"/>
      <c r="E670" s="59"/>
      <c r="K670" s="49"/>
      <c r="L670" s="49"/>
      <c r="O670" s="49"/>
      <c r="P670" s="49"/>
    </row>
    <row r="671" spans="3:16">
      <c r="C671" s="48"/>
      <c r="D671" s="48"/>
      <c r="E671" s="59"/>
      <c r="K671" s="49"/>
      <c r="L671" s="49"/>
      <c r="O671" s="49"/>
      <c r="P671" s="49"/>
    </row>
    <row r="672" spans="3:16">
      <c r="C672" s="48"/>
      <c r="D672" s="48"/>
      <c r="E672" s="59"/>
      <c r="K672" s="49"/>
      <c r="L672" s="49"/>
      <c r="O672" s="49"/>
      <c r="P672" s="49"/>
    </row>
    <row r="673" spans="3:16">
      <c r="C673" s="48"/>
      <c r="D673" s="48"/>
      <c r="E673" s="59"/>
      <c r="K673" s="49"/>
      <c r="L673" s="49"/>
      <c r="O673" s="49"/>
      <c r="P673" s="49"/>
    </row>
    <row r="674" spans="3:16">
      <c r="C674" s="48"/>
      <c r="D674" s="48"/>
      <c r="E674" s="59"/>
      <c r="K674" s="49"/>
      <c r="L674" s="49"/>
      <c r="O674" s="49"/>
      <c r="P674" s="49"/>
    </row>
    <row r="675" spans="3:16">
      <c r="C675" s="48"/>
      <c r="D675" s="48"/>
      <c r="E675" s="59"/>
      <c r="K675" s="49"/>
      <c r="L675" s="49"/>
      <c r="O675" s="49"/>
      <c r="P675" s="49"/>
    </row>
    <row r="676" spans="3:16">
      <c r="C676" s="48"/>
      <c r="D676" s="48"/>
      <c r="E676" s="59"/>
      <c r="K676" s="49"/>
      <c r="L676" s="49"/>
      <c r="O676" s="49"/>
      <c r="P676" s="49"/>
    </row>
    <row r="677" spans="3:16">
      <c r="C677" s="48"/>
      <c r="D677" s="48"/>
      <c r="E677" s="59"/>
      <c r="K677" s="49"/>
      <c r="L677" s="49"/>
      <c r="O677" s="49"/>
      <c r="P677" s="49"/>
    </row>
    <row r="678" spans="3:16">
      <c r="C678" s="48"/>
      <c r="D678" s="48"/>
      <c r="E678" s="59"/>
      <c r="K678" s="49"/>
      <c r="L678" s="49"/>
      <c r="O678" s="49"/>
      <c r="P678" s="49"/>
    </row>
    <row r="679" spans="3:16">
      <c r="C679" s="48"/>
      <c r="D679" s="48"/>
      <c r="E679" s="59"/>
      <c r="K679" s="49"/>
      <c r="L679" s="49"/>
      <c r="O679" s="49"/>
      <c r="P679" s="49"/>
    </row>
    <row r="680" spans="3:16">
      <c r="C680" s="48"/>
      <c r="D680" s="48"/>
      <c r="E680" s="59"/>
      <c r="K680" s="49"/>
      <c r="L680" s="49"/>
      <c r="O680" s="49"/>
      <c r="P680" s="49"/>
    </row>
    <row r="681" spans="3:16">
      <c r="C681" s="48"/>
      <c r="D681" s="48"/>
      <c r="E681" s="59"/>
      <c r="K681" s="49"/>
      <c r="L681" s="49"/>
      <c r="O681" s="49"/>
      <c r="P681" s="49"/>
    </row>
    <row r="682" spans="3:16">
      <c r="C682" s="48"/>
      <c r="D682" s="48"/>
      <c r="E682" s="59"/>
      <c r="K682" s="49"/>
      <c r="L682" s="49"/>
      <c r="O682" s="49"/>
      <c r="P682" s="49"/>
    </row>
    <row r="683" spans="3:16">
      <c r="C683" s="48"/>
      <c r="D683" s="48"/>
      <c r="E683" s="59"/>
      <c r="K683" s="49"/>
      <c r="L683" s="49"/>
      <c r="O683" s="49"/>
      <c r="P683" s="49"/>
    </row>
    <row r="684" spans="3:16">
      <c r="C684" s="48"/>
      <c r="D684" s="48"/>
      <c r="E684" s="59"/>
      <c r="K684" s="49"/>
      <c r="L684" s="49"/>
      <c r="O684" s="49"/>
      <c r="P684" s="49"/>
    </row>
    <row r="685" spans="3:16">
      <c r="C685" s="48"/>
      <c r="D685" s="48"/>
      <c r="E685" s="59"/>
      <c r="K685" s="49"/>
      <c r="L685" s="49"/>
      <c r="O685" s="49"/>
      <c r="P685" s="49"/>
    </row>
    <row r="686" spans="3:16">
      <c r="C686" s="48"/>
      <c r="D686" s="48"/>
      <c r="E686" s="59"/>
      <c r="K686" s="49"/>
      <c r="L686" s="49"/>
      <c r="O686" s="49"/>
      <c r="P686" s="49"/>
    </row>
    <row r="687" spans="3:16">
      <c r="C687" s="48"/>
      <c r="D687" s="48"/>
      <c r="E687" s="59"/>
      <c r="K687" s="49"/>
      <c r="L687" s="49"/>
      <c r="O687" s="49"/>
      <c r="P687" s="49"/>
    </row>
    <row r="688" spans="3:16">
      <c r="C688" s="48"/>
      <c r="D688" s="48"/>
      <c r="E688" s="59"/>
      <c r="K688" s="49"/>
      <c r="L688" s="49"/>
      <c r="O688" s="49"/>
      <c r="P688" s="49"/>
    </row>
    <row r="689" spans="3:16">
      <c r="C689" s="48"/>
      <c r="D689" s="48"/>
      <c r="E689" s="59"/>
      <c r="K689" s="49"/>
      <c r="L689" s="49"/>
      <c r="O689" s="49"/>
      <c r="P689" s="49"/>
    </row>
    <row r="690" spans="3:16">
      <c r="C690" s="48"/>
      <c r="D690" s="48"/>
      <c r="E690" s="59"/>
      <c r="K690" s="49"/>
      <c r="L690" s="49"/>
      <c r="O690" s="49"/>
      <c r="P690" s="49"/>
    </row>
    <row r="691" spans="3:16">
      <c r="C691" s="48"/>
      <c r="D691" s="48"/>
      <c r="E691" s="59"/>
      <c r="K691" s="49"/>
      <c r="L691" s="49"/>
      <c r="O691" s="49"/>
      <c r="P691" s="49"/>
    </row>
    <row r="692" spans="3:16">
      <c r="C692" s="48"/>
      <c r="D692" s="48"/>
      <c r="E692" s="59"/>
      <c r="K692" s="49"/>
      <c r="L692" s="49"/>
      <c r="O692" s="49"/>
      <c r="P692" s="49"/>
    </row>
    <row r="693" spans="3:16">
      <c r="C693" s="48"/>
      <c r="D693" s="48"/>
      <c r="E693" s="59"/>
      <c r="K693" s="49"/>
      <c r="L693" s="49"/>
      <c r="O693" s="49"/>
      <c r="P693" s="49"/>
    </row>
    <row r="694" spans="3:16">
      <c r="C694" s="48"/>
      <c r="D694" s="48"/>
      <c r="E694" s="59"/>
      <c r="K694" s="49"/>
      <c r="L694" s="49"/>
      <c r="O694" s="49"/>
      <c r="P694" s="49"/>
    </row>
    <row r="695" spans="3:16">
      <c r="C695" s="48"/>
      <c r="D695" s="48"/>
      <c r="E695" s="59"/>
      <c r="K695" s="49"/>
      <c r="L695" s="49"/>
      <c r="O695" s="49"/>
      <c r="P695" s="49"/>
    </row>
    <row r="696" spans="3:16">
      <c r="C696" s="48"/>
      <c r="D696" s="48"/>
      <c r="E696" s="59"/>
      <c r="K696" s="49"/>
      <c r="L696" s="49"/>
      <c r="O696" s="49"/>
      <c r="P696" s="49"/>
    </row>
    <row r="697" spans="3:16">
      <c r="C697" s="48"/>
      <c r="D697" s="48"/>
      <c r="E697" s="59"/>
      <c r="K697" s="49"/>
      <c r="L697" s="49"/>
      <c r="O697" s="49"/>
      <c r="P697" s="49"/>
    </row>
    <row r="698" spans="3:16">
      <c r="C698" s="48"/>
      <c r="D698" s="48"/>
      <c r="E698" s="59"/>
      <c r="K698" s="49"/>
      <c r="L698" s="49"/>
      <c r="O698" s="49"/>
      <c r="P698" s="49"/>
    </row>
    <row r="699" spans="3:16">
      <c r="C699" s="48"/>
      <c r="D699" s="48"/>
      <c r="E699" s="59"/>
      <c r="K699" s="49"/>
      <c r="L699" s="49"/>
      <c r="O699" s="49"/>
      <c r="P699" s="49"/>
    </row>
    <row r="700" spans="3:16">
      <c r="C700" s="48"/>
      <c r="D700" s="48"/>
      <c r="E700" s="59"/>
      <c r="K700" s="49"/>
      <c r="L700" s="49"/>
      <c r="O700" s="49"/>
      <c r="P700" s="49"/>
    </row>
    <row r="701" spans="3:16">
      <c r="C701" s="48"/>
      <c r="D701" s="48"/>
      <c r="E701" s="59"/>
      <c r="K701" s="49"/>
      <c r="L701" s="49"/>
      <c r="O701" s="49"/>
      <c r="P701" s="49"/>
    </row>
    <row r="702" spans="3:16">
      <c r="C702" s="48"/>
      <c r="D702" s="48"/>
      <c r="E702" s="59"/>
      <c r="K702" s="49"/>
      <c r="L702" s="49"/>
      <c r="O702" s="49"/>
      <c r="P702" s="49"/>
    </row>
    <row r="703" spans="3:16">
      <c r="C703" s="48"/>
      <c r="D703" s="48"/>
      <c r="E703" s="59"/>
      <c r="K703" s="49"/>
      <c r="L703" s="49"/>
      <c r="O703" s="49"/>
      <c r="P703" s="49"/>
    </row>
    <row r="704" spans="3:16">
      <c r="C704" s="48"/>
      <c r="D704" s="48"/>
      <c r="E704" s="59"/>
      <c r="K704" s="49"/>
      <c r="L704" s="49"/>
      <c r="O704" s="49"/>
      <c r="P704" s="49"/>
    </row>
    <row r="705" spans="3:16">
      <c r="C705" s="48"/>
      <c r="D705" s="48"/>
      <c r="E705" s="59"/>
      <c r="K705" s="49"/>
      <c r="L705" s="49"/>
      <c r="O705" s="49"/>
      <c r="P705" s="49"/>
    </row>
    <row r="706" spans="3:16">
      <c r="C706" s="48"/>
      <c r="D706" s="48"/>
      <c r="E706" s="59"/>
      <c r="K706" s="49"/>
      <c r="L706" s="49"/>
      <c r="O706" s="49"/>
      <c r="P706" s="49"/>
    </row>
    <row r="707" spans="3:16">
      <c r="C707" s="48"/>
      <c r="D707" s="48"/>
      <c r="E707" s="59"/>
      <c r="K707" s="49"/>
      <c r="L707" s="49"/>
      <c r="O707" s="49"/>
      <c r="P707" s="49"/>
    </row>
    <row r="708" spans="3:16">
      <c r="C708" s="48"/>
      <c r="D708" s="48"/>
      <c r="E708" s="59"/>
      <c r="K708" s="49"/>
      <c r="L708" s="49"/>
      <c r="O708" s="49"/>
      <c r="P708" s="49"/>
    </row>
    <row r="709" spans="3:16">
      <c r="C709" s="48"/>
      <c r="D709" s="48"/>
      <c r="E709" s="59"/>
      <c r="K709" s="49"/>
      <c r="L709" s="49"/>
      <c r="O709" s="49"/>
      <c r="P709" s="49"/>
    </row>
    <row r="710" spans="3:16">
      <c r="C710" s="48"/>
      <c r="D710" s="48"/>
      <c r="E710" s="59"/>
      <c r="K710" s="49"/>
      <c r="L710" s="49"/>
      <c r="O710" s="49"/>
      <c r="P710" s="49"/>
    </row>
    <row r="711" spans="3:16">
      <c r="C711" s="48"/>
      <c r="D711" s="48"/>
      <c r="E711" s="59"/>
      <c r="K711" s="49"/>
      <c r="L711" s="49"/>
      <c r="O711" s="49"/>
      <c r="P711" s="49"/>
    </row>
    <row r="712" spans="3:16">
      <c r="C712" s="48"/>
      <c r="D712" s="48"/>
      <c r="E712" s="59"/>
      <c r="K712" s="49"/>
      <c r="L712" s="49"/>
      <c r="O712" s="49"/>
      <c r="P712" s="49"/>
    </row>
    <row r="713" spans="3:16">
      <c r="C713" s="48"/>
      <c r="D713" s="48"/>
      <c r="E713" s="59"/>
      <c r="K713" s="49"/>
      <c r="L713" s="49"/>
      <c r="O713" s="49"/>
      <c r="P713" s="49"/>
    </row>
    <row r="714" spans="3:16">
      <c r="C714" s="48"/>
      <c r="D714" s="48"/>
      <c r="E714" s="59"/>
      <c r="K714" s="49"/>
      <c r="L714" s="49"/>
      <c r="O714" s="49"/>
      <c r="P714" s="49"/>
    </row>
    <row r="715" spans="3:16">
      <c r="C715" s="48"/>
      <c r="D715" s="48"/>
      <c r="E715" s="59"/>
      <c r="K715" s="49"/>
      <c r="L715" s="49"/>
      <c r="O715" s="49"/>
      <c r="P715" s="49"/>
    </row>
    <row r="716" spans="3:16">
      <c r="C716" s="48"/>
      <c r="D716" s="48"/>
      <c r="E716" s="59"/>
      <c r="K716" s="49"/>
      <c r="L716" s="49"/>
      <c r="O716" s="49"/>
      <c r="P716" s="49"/>
    </row>
    <row r="717" spans="3:16">
      <c r="C717" s="48"/>
      <c r="D717" s="48"/>
      <c r="E717" s="59"/>
      <c r="K717" s="49"/>
      <c r="L717" s="49"/>
      <c r="O717" s="49"/>
      <c r="P717" s="49"/>
    </row>
    <row r="718" spans="3:16">
      <c r="C718" s="48"/>
      <c r="D718" s="48"/>
      <c r="E718" s="59"/>
      <c r="K718" s="49"/>
      <c r="L718" s="49"/>
      <c r="O718" s="49"/>
      <c r="P718" s="49"/>
    </row>
    <row r="719" spans="3:16">
      <c r="C719" s="48"/>
      <c r="D719" s="48"/>
      <c r="E719" s="59"/>
      <c r="K719" s="49"/>
      <c r="L719" s="49"/>
      <c r="O719" s="49"/>
      <c r="P719" s="49"/>
    </row>
    <row r="720" spans="3:16">
      <c r="C720" s="48"/>
      <c r="D720" s="48"/>
      <c r="E720" s="59"/>
      <c r="K720" s="49"/>
      <c r="L720" s="49"/>
      <c r="O720" s="49"/>
      <c r="P720" s="49"/>
    </row>
    <row r="721" spans="3:16">
      <c r="C721" s="48"/>
      <c r="D721" s="48"/>
      <c r="E721" s="59"/>
      <c r="K721" s="49"/>
      <c r="L721" s="49"/>
      <c r="O721" s="49"/>
      <c r="P721" s="49"/>
    </row>
    <row r="722" spans="3:16">
      <c r="C722" s="48"/>
      <c r="D722" s="48"/>
      <c r="E722" s="59"/>
      <c r="K722" s="49"/>
      <c r="L722" s="49"/>
      <c r="O722" s="49"/>
      <c r="P722" s="49"/>
    </row>
    <row r="723" spans="3:16">
      <c r="C723" s="48"/>
      <c r="D723" s="48"/>
      <c r="E723" s="59"/>
      <c r="K723" s="49"/>
      <c r="L723" s="49"/>
      <c r="O723" s="49"/>
      <c r="P723" s="49"/>
    </row>
    <row r="724" spans="3:16">
      <c r="C724" s="48"/>
      <c r="D724" s="48"/>
      <c r="E724" s="59"/>
      <c r="K724" s="49"/>
      <c r="L724" s="49"/>
      <c r="O724" s="49"/>
      <c r="P724" s="49"/>
    </row>
    <row r="725" spans="3:16">
      <c r="C725" s="48"/>
      <c r="D725" s="48"/>
      <c r="E725" s="59"/>
      <c r="K725" s="49"/>
      <c r="L725" s="49"/>
      <c r="O725" s="49"/>
      <c r="P725" s="49"/>
    </row>
    <row r="726" spans="3:16">
      <c r="C726" s="48"/>
      <c r="D726" s="48"/>
      <c r="E726" s="59"/>
      <c r="K726" s="49"/>
      <c r="L726" s="49"/>
      <c r="O726" s="49"/>
      <c r="P726" s="49"/>
    </row>
    <row r="727" spans="3:16">
      <c r="C727" s="48"/>
      <c r="D727" s="48"/>
      <c r="E727" s="59"/>
      <c r="K727" s="49"/>
      <c r="L727" s="49"/>
      <c r="O727" s="49"/>
      <c r="P727" s="49"/>
    </row>
    <row r="728" spans="3:16">
      <c r="C728" s="48"/>
      <c r="D728" s="48"/>
      <c r="E728" s="59"/>
      <c r="K728" s="49"/>
      <c r="L728" s="49"/>
      <c r="O728" s="49"/>
      <c r="P728" s="49"/>
    </row>
    <row r="729" spans="3:16">
      <c r="C729" s="48"/>
      <c r="D729" s="48"/>
      <c r="E729" s="59"/>
      <c r="K729" s="49"/>
      <c r="L729" s="49"/>
      <c r="O729" s="49"/>
      <c r="P729" s="49"/>
    </row>
    <row r="730" spans="3:16">
      <c r="C730" s="48"/>
      <c r="D730" s="48"/>
      <c r="E730" s="59"/>
      <c r="K730" s="49"/>
      <c r="L730" s="49"/>
      <c r="O730" s="49"/>
      <c r="P730" s="49"/>
    </row>
    <row r="731" spans="3:16">
      <c r="C731" s="48"/>
      <c r="D731" s="48"/>
      <c r="E731" s="59"/>
      <c r="K731" s="49"/>
      <c r="L731" s="49"/>
      <c r="O731" s="49"/>
      <c r="P731" s="49"/>
    </row>
    <row r="732" spans="3:16">
      <c r="C732" s="48"/>
      <c r="D732" s="48"/>
      <c r="E732" s="59"/>
      <c r="K732" s="49"/>
      <c r="L732" s="49"/>
      <c r="O732" s="49"/>
      <c r="P732" s="49"/>
    </row>
    <row r="733" spans="3:16">
      <c r="C733" s="48"/>
      <c r="D733" s="48"/>
      <c r="E733" s="59"/>
      <c r="K733" s="49"/>
      <c r="L733" s="49"/>
      <c r="O733" s="49"/>
      <c r="P733" s="49"/>
    </row>
    <row r="734" spans="3:16">
      <c r="C734" s="48"/>
      <c r="D734" s="48"/>
      <c r="E734" s="59"/>
      <c r="K734" s="49"/>
      <c r="L734" s="49"/>
      <c r="O734" s="49"/>
      <c r="P734" s="49"/>
    </row>
    <row r="735" spans="3:16">
      <c r="C735" s="48"/>
      <c r="D735" s="48"/>
      <c r="E735" s="59"/>
      <c r="K735" s="49"/>
      <c r="L735" s="49"/>
      <c r="O735" s="49"/>
      <c r="P735" s="49"/>
    </row>
    <row r="736" spans="3:16">
      <c r="C736" s="48"/>
      <c r="D736" s="48"/>
      <c r="E736" s="59"/>
      <c r="K736" s="49"/>
      <c r="L736" s="49"/>
      <c r="O736" s="49"/>
      <c r="P736" s="49"/>
    </row>
    <row r="737" spans="3:16">
      <c r="C737" s="48"/>
      <c r="D737" s="48"/>
      <c r="E737" s="59"/>
      <c r="K737" s="49"/>
      <c r="L737" s="49"/>
      <c r="O737" s="49"/>
      <c r="P737" s="49"/>
    </row>
    <row r="738" spans="3:16">
      <c r="C738" s="48"/>
      <c r="D738" s="48"/>
      <c r="E738" s="59"/>
      <c r="K738" s="49"/>
      <c r="L738" s="49"/>
      <c r="O738" s="49"/>
      <c r="P738" s="49"/>
    </row>
    <row r="739" spans="3:16">
      <c r="C739" s="48"/>
      <c r="D739" s="48"/>
      <c r="E739" s="59"/>
      <c r="K739" s="49"/>
      <c r="L739" s="49"/>
      <c r="O739" s="49"/>
      <c r="P739" s="49"/>
    </row>
    <row r="740" spans="3:16">
      <c r="C740" s="48"/>
      <c r="D740" s="48"/>
      <c r="E740" s="59"/>
      <c r="K740" s="49"/>
      <c r="L740" s="49"/>
      <c r="O740" s="49"/>
      <c r="P740" s="49"/>
    </row>
    <row r="741" spans="3:16">
      <c r="C741" s="48"/>
      <c r="D741" s="48"/>
      <c r="E741" s="59"/>
      <c r="K741" s="49"/>
      <c r="L741" s="49"/>
      <c r="O741" s="49"/>
      <c r="P741" s="49"/>
    </row>
    <row r="742" spans="3:16">
      <c r="C742" s="48"/>
      <c r="D742" s="48"/>
      <c r="E742" s="59"/>
      <c r="K742" s="49"/>
      <c r="L742" s="49"/>
      <c r="O742" s="49"/>
      <c r="P742" s="49"/>
    </row>
    <row r="743" spans="3:16">
      <c r="C743" s="48"/>
      <c r="D743" s="48"/>
      <c r="E743" s="59"/>
      <c r="K743" s="49"/>
      <c r="L743" s="49"/>
      <c r="O743" s="49"/>
      <c r="P743" s="49"/>
    </row>
    <row r="744" spans="3:16">
      <c r="C744" s="48"/>
      <c r="D744" s="48"/>
      <c r="E744" s="59"/>
      <c r="K744" s="49"/>
      <c r="L744" s="49"/>
      <c r="O744" s="49"/>
      <c r="P744" s="49"/>
    </row>
    <row r="745" spans="3:16">
      <c r="C745" s="48"/>
      <c r="D745" s="48"/>
      <c r="E745" s="59"/>
      <c r="K745" s="49"/>
      <c r="L745" s="49"/>
      <c r="O745" s="49"/>
      <c r="P745" s="49"/>
    </row>
    <row r="746" spans="3:16">
      <c r="C746" s="48"/>
      <c r="D746" s="48"/>
      <c r="E746" s="59"/>
      <c r="K746" s="49"/>
      <c r="L746" s="49"/>
      <c r="O746" s="49"/>
      <c r="P746" s="49"/>
    </row>
    <row r="747" spans="3:16">
      <c r="C747" s="48"/>
      <c r="D747" s="48"/>
      <c r="E747" s="59"/>
      <c r="K747" s="49"/>
      <c r="L747" s="49"/>
      <c r="O747" s="49"/>
      <c r="P747" s="49"/>
    </row>
    <row r="748" spans="3:16">
      <c r="C748" s="48"/>
      <c r="D748" s="48"/>
      <c r="E748" s="59"/>
      <c r="K748" s="49"/>
      <c r="L748" s="49"/>
      <c r="O748" s="49"/>
      <c r="P748" s="49"/>
    </row>
    <row r="749" spans="3:16">
      <c r="C749" s="48"/>
      <c r="D749" s="48"/>
      <c r="E749" s="59"/>
      <c r="K749" s="49"/>
      <c r="L749" s="49"/>
      <c r="O749" s="49"/>
      <c r="P749" s="49"/>
    </row>
    <row r="750" spans="3:16">
      <c r="C750" s="48"/>
      <c r="D750" s="48"/>
      <c r="E750" s="59"/>
      <c r="K750" s="49"/>
      <c r="L750" s="49"/>
      <c r="O750" s="49"/>
      <c r="P750" s="49"/>
    </row>
    <row r="751" spans="3:16">
      <c r="C751" s="48"/>
      <c r="D751" s="48"/>
      <c r="E751" s="59"/>
      <c r="K751" s="49"/>
      <c r="L751" s="49"/>
      <c r="O751" s="49"/>
      <c r="P751" s="49"/>
    </row>
    <row r="752" spans="3:16">
      <c r="C752" s="48"/>
      <c r="D752" s="48"/>
      <c r="E752" s="59"/>
      <c r="K752" s="49"/>
      <c r="L752" s="49"/>
      <c r="O752" s="49"/>
      <c r="P752" s="49"/>
    </row>
    <row r="753" spans="3:16">
      <c r="C753" s="48"/>
      <c r="D753" s="48"/>
      <c r="E753" s="59"/>
      <c r="K753" s="49"/>
      <c r="L753" s="49"/>
      <c r="O753" s="49"/>
      <c r="P753" s="49"/>
    </row>
    <row r="754" spans="3:16">
      <c r="C754" s="48"/>
      <c r="D754" s="48"/>
      <c r="E754" s="59"/>
      <c r="K754" s="49"/>
      <c r="L754" s="49"/>
      <c r="O754" s="49"/>
      <c r="P754" s="49"/>
    </row>
    <row r="755" spans="3:16">
      <c r="C755" s="48"/>
      <c r="D755" s="48"/>
      <c r="E755" s="59"/>
      <c r="K755" s="49"/>
      <c r="L755" s="49"/>
      <c r="O755" s="49"/>
      <c r="P755" s="49"/>
    </row>
    <row r="756" spans="3:16">
      <c r="C756" s="48"/>
      <c r="D756" s="48"/>
      <c r="E756" s="59"/>
      <c r="K756" s="49"/>
      <c r="L756" s="49"/>
      <c r="O756" s="49"/>
      <c r="P756" s="49"/>
    </row>
    <row r="757" spans="3:16">
      <c r="C757" s="48"/>
      <c r="D757" s="48"/>
      <c r="E757" s="59"/>
      <c r="K757" s="49"/>
      <c r="L757" s="49"/>
      <c r="O757" s="49"/>
      <c r="P757" s="49"/>
    </row>
    <row r="758" spans="3:16">
      <c r="C758" s="48"/>
      <c r="D758" s="48"/>
      <c r="E758" s="59"/>
      <c r="K758" s="49"/>
      <c r="L758" s="49"/>
      <c r="O758" s="49"/>
      <c r="P758" s="49"/>
    </row>
    <row r="759" spans="3:16">
      <c r="C759" s="48"/>
      <c r="D759" s="48"/>
      <c r="E759" s="59"/>
      <c r="K759" s="49"/>
      <c r="L759" s="49"/>
      <c r="O759" s="49"/>
      <c r="P759" s="49"/>
    </row>
    <row r="760" spans="3:16">
      <c r="C760" s="48"/>
      <c r="D760" s="48"/>
      <c r="E760" s="59"/>
      <c r="K760" s="49"/>
      <c r="L760" s="49"/>
      <c r="O760" s="49"/>
      <c r="P760" s="49"/>
    </row>
    <row r="761" spans="3:16">
      <c r="C761" s="48"/>
      <c r="D761" s="48"/>
      <c r="E761" s="59"/>
      <c r="K761" s="49"/>
      <c r="L761" s="49"/>
      <c r="O761" s="49"/>
      <c r="P761" s="49"/>
    </row>
    <row r="762" spans="3:16">
      <c r="C762" s="48"/>
      <c r="D762" s="48"/>
      <c r="E762" s="59"/>
      <c r="K762" s="49"/>
      <c r="L762" s="49"/>
      <c r="O762" s="49"/>
      <c r="P762" s="49"/>
    </row>
    <row r="763" spans="3:16">
      <c r="C763" s="48"/>
      <c r="D763" s="48"/>
      <c r="E763" s="59"/>
      <c r="K763" s="49"/>
      <c r="L763" s="49"/>
      <c r="O763" s="49"/>
      <c r="P763" s="49"/>
    </row>
    <row r="764" spans="3:16">
      <c r="C764" s="48"/>
      <c r="D764" s="48"/>
      <c r="E764" s="59"/>
      <c r="K764" s="49"/>
      <c r="L764" s="49"/>
      <c r="O764" s="49"/>
      <c r="P764" s="49"/>
    </row>
    <row r="765" spans="3:16">
      <c r="C765" s="48"/>
      <c r="D765" s="48"/>
      <c r="E765" s="59"/>
      <c r="K765" s="49"/>
      <c r="L765" s="49"/>
      <c r="O765" s="49"/>
      <c r="P765" s="49"/>
    </row>
    <row r="766" spans="3:16">
      <c r="C766" s="48"/>
      <c r="D766" s="48"/>
      <c r="E766" s="59"/>
      <c r="K766" s="49"/>
      <c r="L766" s="49"/>
      <c r="O766" s="49"/>
      <c r="P766" s="49"/>
    </row>
    <row r="767" spans="3:16">
      <c r="C767" s="48"/>
      <c r="D767" s="48"/>
      <c r="E767" s="59"/>
      <c r="K767" s="49"/>
      <c r="L767" s="49"/>
      <c r="O767" s="49"/>
      <c r="P767" s="49"/>
    </row>
    <row r="768" spans="3:16">
      <c r="C768" s="48"/>
      <c r="D768" s="48"/>
      <c r="E768" s="59"/>
      <c r="K768" s="49"/>
      <c r="L768" s="49"/>
      <c r="O768" s="49"/>
      <c r="P768" s="49"/>
    </row>
    <row r="769" spans="3:16">
      <c r="C769" s="48"/>
      <c r="D769" s="48"/>
      <c r="E769" s="59"/>
      <c r="K769" s="49"/>
      <c r="L769" s="49"/>
      <c r="O769" s="49"/>
      <c r="P769" s="49"/>
    </row>
    <row r="770" spans="3:16">
      <c r="C770" s="48"/>
      <c r="D770" s="48"/>
      <c r="E770" s="59"/>
      <c r="K770" s="49"/>
      <c r="L770" s="49"/>
      <c r="O770" s="49"/>
      <c r="P770" s="49"/>
    </row>
    <row r="771" spans="3:16">
      <c r="C771" s="48"/>
      <c r="D771" s="48"/>
      <c r="E771" s="59"/>
      <c r="K771" s="49"/>
      <c r="L771" s="49"/>
      <c r="O771" s="49"/>
      <c r="P771" s="49"/>
    </row>
    <row r="772" spans="3:16">
      <c r="C772" s="48"/>
      <c r="D772" s="48"/>
      <c r="E772" s="59"/>
      <c r="K772" s="49"/>
      <c r="L772" s="49"/>
      <c r="O772" s="49"/>
      <c r="P772" s="49"/>
    </row>
    <row r="773" spans="3:16">
      <c r="C773" s="48"/>
      <c r="D773" s="48"/>
      <c r="E773" s="59"/>
      <c r="K773" s="49"/>
      <c r="L773" s="49"/>
      <c r="O773" s="49"/>
      <c r="P773" s="49"/>
    </row>
    <row r="774" spans="3:16">
      <c r="C774" s="48"/>
      <c r="D774" s="48"/>
      <c r="E774" s="59"/>
      <c r="K774" s="49"/>
      <c r="L774" s="49"/>
      <c r="O774" s="49"/>
      <c r="P774" s="49"/>
    </row>
    <row r="775" spans="3:16">
      <c r="C775" s="48"/>
      <c r="D775" s="48"/>
      <c r="E775" s="59"/>
      <c r="K775" s="49"/>
      <c r="L775" s="49"/>
      <c r="O775" s="49"/>
      <c r="P775" s="49"/>
    </row>
    <row r="776" spans="3:16">
      <c r="C776" s="48"/>
      <c r="D776" s="48"/>
      <c r="E776" s="59"/>
      <c r="K776" s="49"/>
      <c r="L776" s="49"/>
      <c r="O776" s="49"/>
      <c r="P776" s="49"/>
    </row>
    <row r="777" spans="3:16">
      <c r="C777" s="48"/>
      <c r="D777" s="48"/>
      <c r="E777" s="59"/>
      <c r="K777" s="49"/>
      <c r="L777" s="49"/>
      <c r="O777" s="49"/>
      <c r="P777" s="49"/>
    </row>
    <row r="778" spans="3:16">
      <c r="C778" s="48"/>
      <c r="D778" s="48"/>
      <c r="E778" s="59"/>
      <c r="K778" s="49"/>
      <c r="L778" s="49"/>
      <c r="O778" s="49"/>
      <c r="P778" s="49"/>
    </row>
    <row r="779" spans="3:16">
      <c r="C779" s="48"/>
      <c r="D779" s="48"/>
      <c r="E779" s="59"/>
      <c r="K779" s="49"/>
      <c r="L779" s="49"/>
      <c r="O779" s="49"/>
      <c r="P779" s="49"/>
    </row>
    <row r="780" spans="3:16">
      <c r="C780" s="48"/>
      <c r="D780" s="48"/>
      <c r="E780" s="59"/>
      <c r="K780" s="49"/>
      <c r="L780" s="49"/>
      <c r="O780" s="49"/>
      <c r="P780" s="49"/>
    </row>
    <row r="781" spans="3:16">
      <c r="C781" s="48"/>
      <c r="D781" s="48"/>
      <c r="E781" s="59"/>
      <c r="K781" s="49"/>
      <c r="L781" s="49"/>
      <c r="O781" s="49"/>
      <c r="P781" s="49"/>
    </row>
    <row r="782" spans="3:16">
      <c r="C782" s="48"/>
      <c r="D782" s="48"/>
      <c r="E782" s="59"/>
      <c r="K782" s="49"/>
      <c r="L782" s="49"/>
      <c r="O782" s="49"/>
      <c r="P782" s="49"/>
    </row>
    <row r="783" spans="3:16">
      <c r="C783" s="48"/>
      <c r="D783" s="48"/>
      <c r="E783" s="59"/>
      <c r="K783" s="49"/>
      <c r="L783" s="49"/>
      <c r="O783" s="49"/>
      <c r="P783" s="49"/>
    </row>
    <row r="784" spans="3:16">
      <c r="C784" s="48"/>
      <c r="D784" s="48"/>
      <c r="E784" s="59"/>
      <c r="K784" s="49"/>
      <c r="L784" s="49"/>
      <c r="O784" s="49"/>
      <c r="P784" s="49"/>
    </row>
    <row r="785" spans="3:16">
      <c r="C785" s="48"/>
      <c r="D785" s="48"/>
      <c r="E785" s="59"/>
      <c r="K785" s="49"/>
      <c r="L785" s="49"/>
      <c r="O785" s="49"/>
      <c r="P785" s="49"/>
    </row>
    <row r="786" spans="3:16">
      <c r="C786" s="48"/>
      <c r="D786" s="48"/>
      <c r="E786" s="59"/>
      <c r="K786" s="49"/>
      <c r="L786" s="49"/>
      <c r="O786" s="49"/>
      <c r="P786" s="49"/>
    </row>
    <row r="787" spans="3:16">
      <c r="C787" s="48"/>
      <c r="D787" s="48"/>
      <c r="E787" s="59"/>
      <c r="K787" s="49"/>
      <c r="L787" s="49"/>
      <c r="O787" s="49"/>
      <c r="P787" s="49"/>
    </row>
    <row r="788" spans="3:16">
      <c r="C788" s="48"/>
      <c r="D788" s="48"/>
      <c r="E788" s="59"/>
      <c r="K788" s="49"/>
      <c r="L788" s="49"/>
      <c r="O788" s="49"/>
      <c r="P788" s="49"/>
    </row>
    <row r="789" spans="3:16">
      <c r="C789" s="48"/>
      <c r="D789" s="48"/>
      <c r="E789" s="59"/>
      <c r="K789" s="49"/>
      <c r="L789" s="49"/>
      <c r="O789" s="49"/>
      <c r="P789" s="49"/>
    </row>
    <row r="790" spans="3:16">
      <c r="C790" s="48"/>
      <c r="D790" s="48"/>
      <c r="E790" s="59"/>
      <c r="K790" s="49"/>
      <c r="L790" s="49"/>
      <c r="O790" s="49"/>
      <c r="P790" s="49"/>
    </row>
    <row r="791" spans="3:16">
      <c r="C791" s="48"/>
      <c r="D791" s="48"/>
      <c r="E791" s="59"/>
      <c r="K791" s="49"/>
      <c r="L791" s="49"/>
      <c r="O791" s="49"/>
      <c r="P791" s="49"/>
    </row>
    <row r="792" spans="3:16">
      <c r="C792" s="48"/>
      <c r="D792" s="48"/>
      <c r="E792" s="59"/>
      <c r="K792" s="49"/>
      <c r="L792" s="49"/>
      <c r="O792" s="49"/>
      <c r="P792" s="49"/>
    </row>
    <row r="793" spans="3:16">
      <c r="C793" s="48"/>
      <c r="D793" s="48"/>
      <c r="E793" s="59"/>
      <c r="K793" s="49"/>
      <c r="L793" s="49"/>
      <c r="O793" s="49"/>
      <c r="P793" s="49"/>
    </row>
    <row r="794" spans="3:16">
      <c r="C794" s="48"/>
      <c r="D794" s="48"/>
      <c r="E794" s="59"/>
      <c r="K794" s="49"/>
      <c r="L794" s="49"/>
      <c r="O794" s="49"/>
      <c r="P794" s="49"/>
    </row>
    <row r="795" spans="3:16">
      <c r="C795" s="48"/>
      <c r="D795" s="48"/>
      <c r="E795" s="59"/>
      <c r="K795" s="49"/>
      <c r="L795" s="49"/>
      <c r="O795" s="49"/>
      <c r="P795" s="49"/>
    </row>
    <row r="796" spans="3:16">
      <c r="C796" s="48"/>
      <c r="D796" s="48"/>
      <c r="E796" s="59"/>
      <c r="K796" s="49"/>
      <c r="L796" s="49"/>
      <c r="O796" s="49"/>
      <c r="P796" s="49"/>
    </row>
    <row r="797" spans="3:16">
      <c r="C797" s="48"/>
      <c r="D797" s="48"/>
      <c r="E797" s="59"/>
      <c r="K797" s="49"/>
      <c r="L797" s="49"/>
      <c r="O797" s="49"/>
      <c r="P797" s="49"/>
    </row>
    <row r="798" spans="3:16">
      <c r="C798" s="48"/>
      <c r="D798" s="48"/>
      <c r="E798" s="59"/>
      <c r="K798" s="49"/>
      <c r="L798" s="49"/>
      <c r="O798" s="49"/>
      <c r="P798" s="49"/>
    </row>
    <row r="799" spans="3:16">
      <c r="C799" s="48"/>
      <c r="D799" s="48"/>
      <c r="E799" s="59"/>
      <c r="K799" s="49"/>
      <c r="L799" s="49"/>
      <c r="O799" s="49"/>
      <c r="P799" s="49"/>
    </row>
    <row r="800" spans="3:16">
      <c r="C800" s="48"/>
      <c r="D800" s="48"/>
      <c r="E800" s="59"/>
      <c r="K800" s="49"/>
      <c r="L800" s="49"/>
      <c r="O800" s="49"/>
      <c r="P800" s="49"/>
    </row>
    <row r="801" spans="3:16">
      <c r="C801" s="48"/>
      <c r="D801" s="48"/>
      <c r="E801" s="59"/>
      <c r="K801" s="49"/>
      <c r="L801" s="49"/>
      <c r="O801" s="49"/>
      <c r="P801" s="49"/>
    </row>
    <row r="802" spans="3:16">
      <c r="C802" s="48"/>
      <c r="D802" s="48"/>
      <c r="E802" s="59"/>
      <c r="K802" s="49"/>
      <c r="L802" s="49"/>
      <c r="O802" s="49"/>
      <c r="P802" s="49"/>
    </row>
    <row r="803" spans="3:16">
      <c r="C803" s="48"/>
      <c r="D803" s="48"/>
      <c r="E803" s="59"/>
      <c r="K803" s="49"/>
      <c r="L803" s="49"/>
      <c r="O803" s="49"/>
      <c r="P803" s="49"/>
    </row>
    <row r="804" spans="3:16">
      <c r="C804" s="48"/>
      <c r="D804" s="48"/>
      <c r="E804" s="59"/>
      <c r="K804" s="49"/>
      <c r="L804" s="49"/>
      <c r="O804" s="49"/>
      <c r="P804" s="49"/>
    </row>
    <row r="805" spans="3:16">
      <c r="C805" s="48"/>
      <c r="D805" s="48"/>
      <c r="E805" s="59"/>
      <c r="K805" s="49"/>
      <c r="L805" s="49"/>
      <c r="O805" s="49"/>
      <c r="P805" s="49"/>
    </row>
    <row r="806" spans="3:16">
      <c r="C806" s="48"/>
      <c r="D806" s="48"/>
      <c r="E806" s="59"/>
      <c r="K806" s="49"/>
      <c r="L806" s="49"/>
      <c r="O806" s="49"/>
      <c r="P806" s="49"/>
    </row>
    <row r="807" spans="3:16">
      <c r="C807" s="48"/>
      <c r="D807" s="48"/>
      <c r="E807" s="59"/>
      <c r="K807" s="49"/>
      <c r="L807" s="49"/>
      <c r="O807" s="49"/>
      <c r="P807" s="49"/>
    </row>
    <row r="808" spans="3:16">
      <c r="C808" s="48"/>
      <c r="D808" s="48"/>
      <c r="E808" s="59"/>
      <c r="K808" s="49"/>
      <c r="L808" s="49"/>
      <c r="O808" s="49"/>
      <c r="P808" s="49"/>
    </row>
    <row r="809" spans="3:16">
      <c r="C809" s="48"/>
      <c r="D809" s="48"/>
      <c r="E809" s="59"/>
      <c r="K809" s="49"/>
      <c r="L809" s="49"/>
      <c r="O809" s="49"/>
      <c r="P809" s="49"/>
    </row>
    <row r="810" spans="3:16">
      <c r="C810" s="48"/>
      <c r="D810" s="48"/>
      <c r="E810" s="59"/>
      <c r="K810" s="49"/>
      <c r="L810" s="49"/>
      <c r="O810" s="49"/>
      <c r="P810" s="49"/>
    </row>
    <row r="811" spans="3:16">
      <c r="C811" s="48"/>
      <c r="D811" s="48"/>
      <c r="E811" s="59"/>
      <c r="K811" s="49"/>
      <c r="L811" s="49"/>
      <c r="O811" s="49"/>
      <c r="P811" s="49"/>
    </row>
    <row r="812" spans="3:16">
      <c r="C812" s="48"/>
      <c r="D812" s="48"/>
      <c r="E812" s="59"/>
      <c r="K812" s="49"/>
      <c r="L812" s="49"/>
      <c r="O812" s="49"/>
      <c r="P812" s="49"/>
    </row>
    <row r="813" spans="3:16">
      <c r="C813" s="48"/>
      <c r="D813" s="48"/>
      <c r="E813" s="59"/>
      <c r="K813" s="49"/>
      <c r="L813" s="49"/>
      <c r="O813" s="49"/>
      <c r="P813" s="49"/>
    </row>
    <row r="814" spans="3:16">
      <c r="C814" s="48"/>
      <c r="D814" s="48"/>
      <c r="E814" s="59"/>
      <c r="K814" s="49"/>
      <c r="L814" s="49"/>
      <c r="O814" s="49"/>
      <c r="P814" s="49"/>
    </row>
    <row r="815" spans="3:16">
      <c r="C815" s="48"/>
      <c r="D815" s="48"/>
      <c r="E815" s="59"/>
      <c r="K815" s="49"/>
      <c r="L815" s="49"/>
      <c r="O815" s="49"/>
      <c r="P815" s="49"/>
    </row>
    <row r="816" spans="3:16">
      <c r="C816" s="48"/>
      <c r="D816" s="48"/>
      <c r="E816" s="59"/>
      <c r="K816" s="49"/>
      <c r="L816" s="49"/>
      <c r="O816" s="49"/>
      <c r="P816" s="49"/>
    </row>
    <row r="817" spans="3:16">
      <c r="C817" s="48"/>
      <c r="D817" s="48"/>
      <c r="E817" s="59"/>
      <c r="K817" s="49"/>
      <c r="L817" s="49"/>
      <c r="O817" s="49"/>
      <c r="P817" s="49"/>
    </row>
    <row r="818" spans="3:16">
      <c r="C818" s="48"/>
      <c r="D818" s="48"/>
      <c r="E818" s="59"/>
      <c r="K818" s="49"/>
      <c r="L818" s="49"/>
      <c r="O818" s="49"/>
      <c r="P818" s="49"/>
    </row>
    <row r="819" spans="3:16">
      <c r="C819" s="48"/>
      <c r="D819" s="48"/>
      <c r="E819" s="59"/>
      <c r="K819" s="49"/>
      <c r="L819" s="49"/>
      <c r="O819" s="49"/>
      <c r="P819" s="49"/>
    </row>
    <row r="820" spans="3:16">
      <c r="C820" s="48"/>
      <c r="D820" s="48"/>
      <c r="E820" s="59"/>
      <c r="K820" s="49"/>
      <c r="L820" s="49"/>
      <c r="O820" s="49"/>
      <c r="P820" s="49"/>
    </row>
    <row r="821" spans="3:16">
      <c r="C821" s="48"/>
      <c r="D821" s="48"/>
      <c r="E821" s="59"/>
      <c r="K821" s="49"/>
      <c r="L821" s="49"/>
      <c r="O821" s="49"/>
      <c r="P821" s="49"/>
    </row>
    <row r="822" spans="3:16">
      <c r="C822" s="48"/>
      <c r="D822" s="48"/>
      <c r="E822" s="59"/>
      <c r="K822" s="49"/>
      <c r="L822" s="49"/>
      <c r="O822" s="49"/>
      <c r="P822" s="49"/>
    </row>
    <row r="823" spans="3:16">
      <c r="C823" s="48"/>
      <c r="D823" s="48"/>
      <c r="E823" s="59"/>
      <c r="K823" s="49"/>
      <c r="L823" s="49"/>
      <c r="O823" s="49"/>
      <c r="P823" s="49"/>
    </row>
    <row r="824" spans="3:16">
      <c r="C824" s="48"/>
      <c r="D824" s="48"/>
      <c r="E824" s="59"/>
      <c r="K824" s="49"/>
      <c r="L824" s="49"/>
      <c r="O824" s="49"/>
      <c r="P824" s="49"/>
    </row>
    <row r="825" spans="3:16">
      <c r="C825" s="48"/>
      <c r="D825" s="48"/>
      <c r="E825" s="59"/>
      <c r="K825" s="49"/>
      <c r="L825" s="49"/>
      <c r="O825" s="49"/>
      <c r="P825" s="49"/>
    </row>
    <row r="826" spans="3:16">
      <c r="C826" s="48"/>
      <c r="D826" s="48"/>
      <c r="E826" s="59"/>
      <c r="K826" s="49"/>
      <c r="L826" s="49"/>
      <c r="O826" s="49"/>
      <c r="P826" s="49"/>
    </row>
    <row r="827" spans="3:16">
      <c r="C827" s="48"/>
      <c r="D827" s="48"/>
      <c r="E827" s="59"/>
      <c r="K827" s="49"/>
      <c r="L827" s="49"/>
      <c r="O827" s="49"/>
      <c r="P827" s="49"/>
    </row>
    <row r="828" spans="3:16">
      <c r="C828" s="48"/>
      <c r="D828" s="48"/>
      <c r="E828" s="59"/>
      <c r="K828" s="49"/>
      <c r="L828" s="49"/>
      <c r="O828" s="49"/>
      <c r="P828" s="49"/>
    </row>
    <row r="829" spans="3:16">
      <c r="C829" s="48"/>
      <c r="D829" s="48"/>
      <c r="E829" s="59"/>
      <c r="K829" s="49"/>
      <c r="L829" s="49"/>
      <c r="O829" s="49"/>
      <c r="P829" s="49"/>
    </row>
    <row r="830" spans="3:16">
      <c r="C830" s="48"/>
      <c r="D830" s="48"/>
      <c r="E830" s="59"/>
      <c r="K830" s="49"/>
      <c r="L830" s="49"/>
      <c r="O830" s="49"/>
      <c r="P830" s="49"/>
    </row>
    <row r="831" spans="3:16">
      <c r="C831" s="48"/>
      <c r="D831" s="48"/>
      <c r="E831" s="59"/>
      <c r="K831" s="49"/>
      <c r="L831" s="49"/>
      <c r="O831" s="49"/>
      <c r="P831" s="49"/>
    </row>
    <row r="832" spans="3:16">
      <c r="C832" s="48"/>
      <c r="D832" s="48"/>
      <c r="E832" s="59"/>
      <c r="K832" s="49"/>
      <c r="L832" s="49"/>
      <c r="O832" s="49"/>
      <c r="P832" s="49"/>
    </row>
    <row r="833" spans="3:16">
      <c r="C833" s="48"/>
      <c r="D833" s="48"/>
      <c r="E833" s="59"/>
      <c r="K833" s="49"/>
      <c r="L833" s="49"/>
      <c r="O833" s="49"/>
      <c r="P833" s="49"/>
    </row>
    <row r="834" spans="3:16">
      <c r="C834" s="48"/>
      <c r="D834" s="48"/>
      <c r="E834" s="59"/>
      <c r="K834" s="49"/>
      <c r="L834" s="49"/>
      <c r="O834" s="49"/>
      <c r="P834" s="49"/>
    </row>
    <row r="835" spans="3:16">
      <c r="C835" s="48"/>
      <c r="D835" s="48"/>
      <c r="E835" s="59"/>
      <c r="K835" s="49"/>
      <c r="L835" s="49"/>
      <c r="O835" s="49"/>
      <c r="P835" s="49"/>
    </row>
    <row r="836" spans="3:16">
      <c r="C836" s="48"/>
      <c r="D836" s="48"/>
      <c r="E836" s="59"/>
      <c r="K836" s="49"/>
      <c r="L836" s="49"/>
      <c r="O836" s="49"/>
      <c r="P836" s="49"/>
    </row>
    <row r="837" spans="3:16">
      <c r="C837" s="48"/>
      <c r="D837" s="48"/>
      <c r="E837" s="59"/>
      <c r="K837" s="49"/>
      <c r="L837" s="49"/>
      <c r="O837" s="49"/>
      <c r="P837" s="49"/>
    </row>
    <row r="838" spans="3:16">
      <c r="C838" s="48"/>
      <c r="D838" s="48"/>
      <c r="E838" s="59"/>
      <c r="K838" s="49"/>
      <c r="L838" s="49"/>
      <c r="O838" s="49"/>
      <c r="P838" s="49"/>
    </row>
    <row r="839" spans="3:16">
      <c r="C839" s="48"/>
      <c r="D839" s="48"/>
      <c r="E839" s="59"/>
      <c r="K839" s="49"/>
      <c r="L839" s="49"/>
      <c r="O839" s="49"/>
      <c r="P839" s="49"/>
    </row>
    <row r="840" spans="3:16">
      <c r="C840" s="48"/>
      <c r="D840" s="48"/>
      <c r="E840" s="59"/>
      <c r="K840" s="49"/>
      <c r="L840" s="49"/>
      <c r="O840" s="49"/>
      <c r="P840" s="49"/>
    </row>
    <row r="841" spans="3:16">
      <c r="C841" s="48"/>
      <c r="D841" s="48"/>
      <c r="E841" s="59"/>
      <c r="K841" s="49"/>
      <c r="L841" s="49"/>
      <c r="O841" s="49"/>
      <c r="P841" s="49"/>
    </row>
    <row r="842" spans="3:16">
      <c r="C842" s="48"/>
      <c r="D842" s="48"/>
      <c r="E842" s="59"/>
      <c r="K842" s="49"/>
      <c r="L842" s="49"/>
      <c r="O842" s="49"/>
      <c r="P842" s="49"/>
    </row>
    <row r="843" spans="3:16">
      <c r="C843" s="48"/>
      <c r="D843" s="48"/>
      <c r="E843" s="59"/>
      <c r="K843" s="49"/>
      <c r="L843" s="49"/>
      <c r="O843" s="49"/>
      <c r="P843" s="49"/>
    </row>
    <row r="844" spans="3:16">
      <c r="C844" s="48"/>
      <c r="D844" s="48"/>
      <c r="E844" s="59"/>
      <c r="K844" s="49"/>
      <c r="L844" s="49"/>
      <c r="O844" s="49"/>
      <c r="P844" s="49"/>
    </row>
    <row r="845" spans="3:16">
      <c r="C845" s="48"/>
      <c r="D845" s="48"/>
      <c r="E845" s="59"/>
      <c r="K845" s="49"/>
      <c r="L845" s="49"/>
      <c r="O845" s="49"/>
      <c r="P845" s="49"/>
    </row>
    <row r="846" spans="3:16">
      <c r="C846" s="48"/>
      <c r="D846" s="48"/>
      <c r="E846" s="59"/>
      <c r="K846" s="49"/>
      <c r="L846" s="49"/>
      <c r="O846" s="49"/>
      <c r="P846" s="49"/>
    </row>
    <row r="847" spans="3:16">
      <c r="C847" s="48"/>
      <c r="D847" s="48"/>
      <c r="E847" s="59"/>
      <c r="K847" s="49"/>
      <c r="L847" s="49"/>
      <c r="O847" s="49"/>
      <c r="P847" s="49"/>
    </row>
    <row r="848" spans="3:16">
      <c r="C848" s="48"/>
      <c r="D848" s="48"/>
      <c r="E848" s="59"/>
      <c r="K848" s="49"/>
      <c r="L848" s="49"/>
      <c r="O848" s="49"/>
      <c r="P848" s="49"/>
    </row>
    <row r="849" spans="3:16">
      <c r="C849" s="48"/>
      <c r="D849" s="48"/>
      <c r="E849" s="59"/>
      <c r="K849" s="49"/>
      <c r="L849" s="49"/>
      <c r="O849" s="49"/>
      <c r="P849" s="49"/>
    </row>
    <row r="850" spans="3:16">
      <c r="C850" s="48"/>
      <c r="D850" s="48"/>
      <c r="E850" s="59"/>
      <c r="K850" s="49"/>
      <c r="L850" s="49"/>
      <c r="O850" s="49"/>
      <c r="P850" s="49"/>
    </row>
    <row r="851" spans="3:16">
      <c r="C851" s="48"/>
      <c r="D851" s="48"/>
      <c r="E851" s="59"/>
      <c r="K851" s="49"/>
      <c r="L851" s="49"/>
      <c r="O851" s="49"/>
      <c r="P851" s="49"/>
    </row>
    <row r="852" spans="3:16">
      <c r="C852" s="48"/>
      <c r="D852" s="48"/>
      <c r="E852" s="59"/>
      <c r="K852" s="49"/>
      <c r="L852" s="49"/>
      <c r="O852" s="49"/>
      <c r="P852" s="49"/>
    </row>
    <row r="853" spans="3:16">
      <c r="C853" s="48"/>
      <c r="D853" s="48"/>
      <c r="E853" s="59"/>
      <c r="K853" s="49"/>
      <c r="L853" s="49"/>
      <c r="O853" s="49"/>
      <c r="P853" s="49"/>
    </row>
    <row r="854" spans="3:16">
      <c r="C854" s="48"/>
      <c r="D854" s="48"/>
      <c r="E854" s="59"/>
      <c r="K854" s="49"/>
      <c r="L854" s="49"/>
      <c r="O854" s="49"/>
      <c r="P854" s="49"/>
    </row>
    <row r="855" spans="3:16">
      <c r="C855" s="48"/>
      <c r="D855" s="48"/>
      <c r="E855" s="59"/>
      <c r="K855" s="49"/>
      <c r="L855" s="49"/>
      <c r="O855" s="49"/>
      <c r="P855" s="49"/>
    </row>
    <row r="856" spans="3:16">
      <c r="C856" s="48"/>
      <c r="D856" s="48"/>
      <c r="E856" s="59"/>
      <c r="K856" s="49"/>
      <c r="L856" s="49"/>
      <c r="O856" s="49"/>
      <c r="P856" s="49"/>
    </row>
    <row r="857" spans="3:16">
      <c r="C857" s="48"/>
      <c r="D857" s="48"/>
      <c r="E857" s="59"/>
      <c r="K857" s="49"/>
      <c r="L857" s="49"/>
      <c r="O857" s="49"/>
      <c r="P857" s="49"/>
    </row>
    <row r="858" spans="3:16">
      <c r="C858" s="48"/>
      <c r="D858" s="48"/>
      <c r="E858" s="59"/>
      <c r="K858" s="49"/>
      <c r="L858" s="49"/>
      <c r="O858" s="49"/>
      <c r="P858" s="49"/>
    </row>
    <row r="859" spans="3:16">
      <c r="C859" s="48"/>
      <c r="D859" s="48"/>
      <c r="E859" s="59"/>
      <c r="K859" s="49"/>
      <c r="L859" s="49"/>
      <c r="O859" s="49"/>
      <c r="P859" s="49"/>
    </row>
    <row r="860" spans="3:16">
      <c r="C860" s="48"/>
      <c r="D860" s="48"/>
      <c r="E860" s="59"/>
      <c r="K860" s="49"/>
      <c r="L860" s="49"/>
      <c r="O860" s="49"/>
      <c r="P860" s="49"/>
    </row>
    <row r="861" spans="3:16">
      <c r="C861" s="48"/>
      <c r="D861" s="48"/>
      <c r="E861" s="59"/>
      <c r="K861" s="49"/>
      <c r="L861" s="49"/>
      <c r="O861" s="49"/>
      <c r="P861" s="49"/>
    </row>
    <row r="862" spans="3:16">
      <c r="C862" s="48"/>
      <c r="D862" s="48"/>
      <c r="E862" s="59"/>
      <c r="K862" s="49"/>
      <c r="L862" s="49"/>
      <c r="O862" s="49"/>
      <c r="P862" s="49"/>
    </row>
    <row r="863" spans="3:16">
      <c r="C863" s="48"/>
      <c r="D863" s="48"/>
      <c r="E863" s="59"/>
      <c r="K863" s="49"/>
      <c r="L863" s="49"/>
      <c r="O863" s="49"/>
      <c r="P863" s="49"/>
    </row>
    <row r="864" spans="3:16">
      <c r="C864" s="48"/>
      <c r="D864" s="48"/>
      <c r="E864" s="59"/>
      <c r="K864" s="49"/>
      <c r="L864" s="49"/>
      <c r="O864" s="49"/>
      <c r="P864" s="49"/>
    </row>
    <row r="865" spans="3:16">
      <c r="C865" s="48"/>
      <c r="D865" s="48"/>
      <c r="E865" s="59"/>
      <c r="K865" s="49"/>
      <c r="L865" s="49"/>
      <c r="O865" s="49"/>
      <c r="P865" s="49"/>
    </row>
    <row r="866" spans="3:16">
      <c r="C866" s="48"/>
      <c r="D866" s="48"/>
      <c r="E866" s="59"/>
      <c r="K866" s="49"/>
      <c r="L866" s="49"/>
      <c r="O866" s="49"/>
      <c r="P866" s="49"/>
    </row>
    <row r="867" spans="3:16">
      <c r="C867" s="48"/>
      <c r="D867" s="48"/>
      <c r="E867" s="59"/>
      <c r="K867" s="49"/>
      <c r="L867" s="49"/>
      <c r="O867" s="49"/>
      <c r="P867" s="49"/>
    </row>
    <row r="868" spans="3:16">
      <c r="C868" s="48"/>
      <c r="D868" s="48"/>
      <c r="E868" s="59"/>
      <c r="K868" s="49"/>
      <c r="L868" s="49"/>
      <c r="O868" s="49"/>
      <c r="P868" s="49"/>
    </row>
    <row r="869" spans="3:16">
      <c r="C869" s="48"/>
      <c r="D869" s="48"/>
      <c r="E869" s="59"/>
      <c r="K869" s="49"/>
      <c r="L869" s="49"/>
      <c r="O869" s="49"/>
      <c r="P869" s="49"/>
    </row>
    <row r="870" spans="3:16">
      <c r="C870" s="48"/>
      <c r="D870" s="48"/>
      <c r="E870" s="59"/>
      <c r="K870" s="49"/>
      <c r="L870" s="49"/>
      <c r="O870" s="49"/>
      <c r="P870" s="49"/>
    </row>
    <row r="871" spans="3:16">
      <c r="C871" s="48"/>
      <c r="D871" s="48"/>
      <c r="E871" s="59"/>
      <c r="K871" s="49"/>
      <c r="L871" s="49"/>
      <c r="O871" s="49"/>
      <c r="P871" s="49"/>
    </row>
    <row r="872" spans="3:16">
      <c r="C872" s="48"/>
      <c r="D872" s="48"/>
      <c r="E872" s="59"/>
      <c r="K872" s="49"/>
      <c r="L872" s="49"/>
      <c r="O872" s="49"/>
      <c r="P872" s="49"/>
    </row>
    <row r="873" spans="3:16">
      <c r="C873" s="48"/>
      <c r="D873" s="48"/>
      <c r="E873" s="59"/>
      <c r="K873" s="49"/>
      <c r="L873" s="49"/>
      <c r="O873" s="49"/>
      <c r="P873" s="49"/>
    </row>
    <row r="874" spans="3:16">
      <c r="C874" s="48"/>
      <c r="D874" s="48"/>
      <c r="E874" s="59"/>
      <c r="K874" s="49"/>
      <c r="L874" s="49"/>
      <c r="O874" s="49"/>
      <c r="P874" s="49"/>
    </row>
    <row r="875" spans="3:16">
      <c r="C875" s="48"/>
      <c r="D875" s="48"/>
      <c r="E875" s="59"/>
      <c r="K875" s="49"/>
      <c r="L875" s="49"/>
      <c r="O875" s="49"/>
      <c r="P875" s="49"/>
    </row>
    <row r="876" spans="3:16">
      <c r="C876" s="48"/>
      <c r="D876" s="48"/>
      <c r="E876" s="59"/>
      <c r="K876" s="49"/>
      <c r="L876" s="49"/>
      <c r="O876" s="49"/>
      <c r="P876" s="49"/>
    </row>
    <row r="877" spans="3:16">
      <c r="C877" s="48"/>
      <c r="D877" s="48"/>
      <c r="E877" s="59"/>
      <c r="K877" s="49"/>
      <c r="L877" s="49"/>
      <c r="O877" s="49"/>
      <c r="P877" s="49"/>
    </row>
    <row r="878" spans="3:16">
      <c r="C878" s="48"/>
      <c r="D878" s="48"/>
      <c r="E878" s="59"/>
      <c r="K878" s="49"/>
      <c r="L878" s="49"/>
      <c r="O878" s="49"/>
      <c r="P878" s="49"/>
    </row>
    <row r="879" spans="3:16">
      <c r="C879" s="48"/>
      <c r="D879" s="48"/>
      <c r="E879" s="59"/>
      <c r="K879" s="49"/>
      <c r="L879" s="49"/>
      <c r="O879" s="49"/>
      <c r="P879" s="49"/>
    </row>
    <row r="880" spans="3:16">
      <c r="C880" s="48"/>
      <c r="D880" s="48"/>
      <c r="E880" s="59"/>
      <c r="K880" s="49"/>
      <c r="L880" s="49"/>
      <c r="O880" s="49"/>
      <c r="P880" s="49"/>
    </row>
    <row r="881" spans="3:16">
      <c r="C881" s="48"/>
      <c r="D881" s="48"/>
      <c r="E881" s="59"/>
      <c r="K881" s="49"/>
      <c r="L881" s="49"/>
      <c r="O881" s="49"/>
      <c r="P881" s="49"/>
    </row>
    <row r="882" spans="3:16">
      <c r="C882" s="48"/>
      <c r="D882" s="48"/>
      <c r="E882" s="59"/>
      <c r="K882" s="49"/>
      <c r="L882" s="49"/>
      <c r="O882" s="49"/>
      <c r="P882" s="49"/>
    </row>
    <row r="883" spans="3:16">
      <c r="C883" s="48"/>
      <c r="D883" s="48"/>
      <c r="E883" s="59"/>
      <c r="K883" s="49"/>
      <c r="L883" s="49"/>
      <c r="O883" s="49"/>
      <c r="P883" s="49"/>
    </row>
    <row r="884" spans="3:16">
      <c r="C884" s="48"/>
      <c r="D884" s="48"/>
      <c r="E884" s="59"/>
      <c r="K884" s="49"/>
      <c r="L884" s="49"/>
      <c r="O884" s="49"/>
      <c r="P884" s="49"/>
    </row>
    <row r="885" spans="3:16">
      <c r="C885" s="48"/>
      <c r="D885" s="48"/>
      <c r="E885" s="59"/>
      <c r="K885" s="49"/>
      <c r="L885" s="49"/>
      <c r="O885" s="49"/>
      <c r="P885" s="49"/>
    </row>
    <row r="886" spans="3:16">
      <c r="C886" s="48"/>
      <c r="D886" s="48"/>
      <c r="E886" s="59"/>
      <c r="K886" s="49"/>
      <c r="L886" s="49"/>
      <c r="O886" s="49"/>
      <c r="P886" s="49"/>
    </row>
    <row r="887" spans="3:16">
      <c r="C887" s="48"/>
      <c r="D887" s="48"/>
      <c r="E887" s="59"/>
      <c r="K887" s="49"/>
      <c r="L887" s="49"/>
      <c r="O887" s="49"/>
      <c r="P887" s="49"/>
    </row>
    <row r="888" spans="3:16">
      <c r="C888" s="48"/>
      <c r="D888" s="48"/>
      <c r="E888" s="59"/>
      <c r="K888" s="49"/>
      <c r="L888" s="49"/>
      <c r="O888" s="49"/>
      <c r="P888" s="49"/>
    </row>
    <row r="889" spans="3:16">
      <c r="C889" s="48"/>
      <c r="D889" s="48"/>
      <c r="E889" s="59"/>
      <c r="K889" s="49"/>
      <c r="L889" s="49"/>
      <c r="O889" s="49"/>
      <c r="P889" s="49"/>
    </row>
    <row r="890" spans="3:16">
      <c r="C890" s="48"/>
      <c r="D890" s="48"/>
      <c r="E890" s="59"/>
      <c r="K890" s="49"/>
      <c r="L890" s="49"/>
      <c r="O890" s="49"/>
      <c r="P890" s="49"/>
    </row>
    <row r="891" spans="3:16">
      <c r="C891" s="48"/>
      <c r="D891" s="48"/>
      <c r="E891" s="59"/>
      <c r="K891" s="49"/>
      <c r="L891" s="49"/>
      <c r="O891" s="49"/>
      <c r="P891" s="49"/>
    </row>
    <row r="892" spans="3:16">
      <c r="C892" s="48"/>
      <c r="D892" s="48"/>
      <c r="E892" s="59"/>
      <c r="K892" s="49"/>
      <c r="L892" s="49"/>
      <c r="O892" s="49"/>
      <c r="P892" s="49"/>
    </row>
    <row r="893" spans="3:16">
      <c r="C893" s="48"/>
      <c r="D893" s="48"/>
      <c r="E893" s="59"/>
      <c r="K893" s="49"/>
      <c r="L893" s="49"/>
      <c r="O893" s="49"/>
      <c r="P893" s="49"/>
    </row>
    <row r="894" spans="3:16">
      <c r="C894" s="48"/>
      <c r="D894" s="48"/>
      <c r="E894" s="59"/>
      <c r="K894" s="49"/>
      <c r="L894" s="49"/>
      <c r="O894" s="49"/>
      <c r="P894" s="49"/>
    </row>
    <row r="895" spans="3:16">
      <c r="C895" s="48"/>
      <c r="D895" s="48"/>
      <c r="E895" s="59"/>
      <c r="K895" s="49"/>
      <c r="L895" s="49"/>
      <c r="O895" s="49"/>
      <c r="P895" s="49"/>
    </row>
    <row r="896" spans="3:16">
      <c r="C896" s="48"/>
      <c r="D896" s="48"/>
      <c r="E896" s="59"/>
      <c r="K896" s="49"/>
      <c r="L896" s="49"/>
      <c r="O896" s="49"/>
      <c r="P896" s="49"/>
    </row>
    <row r="897" spans="3:16">
      <c r="C897" s="48"/>
      <c r="D897" s="48"/>
      <c r="E897" s="59"/>
      <c r="K897" s="49"/>
      <c r="L897" s="49"/>
      <c r="O897" s="49"/>
      <c r="P897" s="49"/>
    </row>
    <row r="898" spans="3:16">
      <c r="C898" s="48"/>
      <c r="D898" s="48"/>
      <c r="E898" s="59"/>
      <c r="K898" s="49"/>
      <c r="L898" s="49"/>
      <c r="O898" s="49"/>
      <c r="P898" s="49"/>
    </row>
    <row r="899" spans="3:16">
      <c r="C899" s="48"/>
      <c r="D899" s="48"/>
      <c r="E899" s="59"/>
      <c r="K899" s="49"/>
      <c r="L899" s="49"/>
      <c r="O899" s="49"/>
      <c r="P899" s="49"/>
    </row>
    <row r="900" spans="3:16">
      <c r="C900" s="48"/>
      <c r="D900" s="48"/>
      <c r="E900" s="59"/>
      <c r="K900" s="49"/>
      <c r="L900" s="49"/>
      <c r="O900" s="49"/>
      <c r="P900" s="49"/>
    </row>
    <row r="901" spans="3:16">
      <c r="C901" s="48"/>
      <c r="D901" s="48"/>
      <c r="E901" s="59"/>
      <c r="K901" s="49"/>
      <c r="L901" s="49"/>
      <c r="O901" s="49"/>
      <c r="P901" s="49"/>
    </row>
    <row r="902" spans="3:16">
      <c r="C902" s="48"/>
      <c r="D902" s="48"/>
      <c r="E902" s="59"/>
      <c r="K902" s="49"/>
      <c r="L902" s="49"/>
      <c r="O902" s="49"/>
      <c r="P902" s="49"/>
    </row>
    <row r="903" spans="3:16">
      <c r="C903" s="48"/>
      <c r="D903" s="48"/>
      <c r="E903" s="59"/>
      <c r="K903" s="49"/>
      <c r="L903" s="49"/>
      <c r="O903" s="49"/>
      <c r="P903" s="49"/>
    </row>
    <row r="904" spans="3:16">
      <c r="C904" s="48"/>
      <c r="D904" s="48"/>
      <c r="E904" s="59"/>
      <c r="K904" s="49"/>
      <c r="L904" s="49"/>
      <c r="O904" s="49"/>
      <c r="P904" s="49"/>
    </row>
    <row r="905" spans="3:16">
      <c r="C905" s="48"/>
      <c r="D905" s="48"/>
      <c r="E905" s="59"/>
      <c r="K905" s="49"/>
      <c r="L905" s="49"/>
      <c r="O905" s="49"/>
      <c r="P905" s="49"/>
    </row>
    <row r="906" spans="3:16">
      <c r="C906" s="48"/>
      <c r="D906" s="48"/>
      <c r="E906" s="59"/>
      <c r="K906" s="49"/>
      <c r="L906" s="49"/>
      <c r="O906" s="49"/>
      <c r="P906" s="49"/>
    </row>
    <row r="907" spans="3:16">
      <c r="C907" s="48"/>
      <c r="D907" s="48"/>
      <c r="E907" s="59"/>
      <c r="K907" s="49"/>
      <c r="L907" s="49"/>
      <c r="O907" s="49"/>
      <c r="P907" s="49"/>
    </row>
    <row r="908" spans="3:16">
      <c r="C908" s="48"/>
      <c r="D908" s="48"/>
      <c r="E908" s="59"/>
      <c r="K908" s="49"/>
      <c r="L908" s="49"/>
      <c r="O908" s="49"/>
      <c r="P908" s="49"/>
    </row>
    <row r="909" spans="3:16">
      <c r="C909" s="48"/>
      <c r="D909" s="48"/>
      <c r="E909" s="59"/>
      <c r="K909" s="49"/>
      <c r="L909" s="49"/>
      <c r="O909" s="49"/>
      <c r="P909" s="49"/>
    </row>
    <row r="910" spans="3:16">
      <c r="C910" s="48"/>
      <c r="D910" s="48"/>
      <c r="E910" s="59"/>
      <c r="K910" s="49"/>
      <c r="L910" s="49"/>
      <c r="O910" s="49"/>
      <c r="P910" s="49"/>
    </row>
    <row r="911" spans="3:16">
      <c r="C911" s="48"/>
      <c r="D911" s="48"/>
      <c r="E911" s="59"/>
      <c r="K911" s="49"/>
      <c r="L911" s="49"/>
      <c r="O911" s="49"/>
      <c r="P911" s="49"/>
    </row>
    <row r="912" spans="3:16">
      <c r="C912" s="48"/>
      <c r="D912" s="48"/>
      <c r="E912" s="59"/>
      <c r="K912" s="49"/>
      <c r="L912" s="49"/>
      <c r="O912" s="49"/>
      <c r="P912" s="49"/>
    </row>
    <row r="913" spans="3:16">
      <c r="C913" s="48"/>
      <c r="D913" s="48"/>
      <c r="E913" s="59"/>
      <c r="K913" s="49"/>
      <c r="L913" s="49"/>
      <c r="O913" s="49"/>
      <c r="P913" s="49"/>
    </row>
    <row r="914" spans="3:16">
      <c r="C914" s="48"/>
      <c r="D914" s="48"/>
      <c r="E914" s="59"/>
      <c r="K914" s="49"/>
      <c r="L914" s="49"/>
      <c r="O914" s="49"/>
      <c r="P914" s="49"/>
    </row>
    <row r="915" spans="3:16">
      <c r="C915" s="48"/>
      <c r="D915" s="48"/>
      <c r="E915" s="59"/>
      <c r="K915" s="49"/>
      <c r="L915" s="49"/>
      <c r="O915" s="49"/>
      <c r="P915" s="49"/>
    </row>
    <row r="916" spans="3:16">
      <c r="C916" s="48"/>
      <c r="D916" s="48"/>
      <c r="E916" s="59"/>
      <c r="K916" s="49"/>
      <c r="L916" s="49"/>
      <c r="O916" s="49"/>
      <c r="P916" s="49"/>
    </row>
    <row r="917" spans="3:16">
      <c r="C917" s="48"/>
      <c r="D917" s="48"/>
      <c r="E917" s="59"/>
      <c r="K917" s="49"/>
      <c r="L917" s="49"/>
      <c r="O917" s="49"/>
      <c r="P917" s="49"/>
    </row>
    <row r="918" spans="3:16">
      <c r="C918" s="48"/>
      <c r="D918" s="48"/>
      <c r="E918" s="59"/>
      <c r="K918" s="49"/>
      <c r="L918" s="49"/>
      <c r="O918" s="49"/>
      <c r="P918" s="49"/>
    </row>
    <row r="919" spans="3:16">
      <c r="C919" s="48"/>
      <c r="D919" s="48"/>
      <c r="E919" s="59"/>
      <c r="K919" s="49"/>
      <c r="L919" s="49"/>
      <c r="O919" s="49"/>
      <c r="P919" s="49"/>
    </row>
    <row r="920" spans="3:16">
      <c r="C920" s="48"/>
      <c r="D920" s="48"/>
      <c r="E920" s="59"/>
      <c r="K920" s="49"/>
      <c r="L920" s="49"/>
      <c r="O920" s="49"/>
      <c r="P920" s="49"/>
    </row>
    <row r="921" spans="3:16">
      <c r="C921" s="48"/>
      <c r="D921" s="48"/>
      <c r="E921" s="59"/>
      <c r="K921" s="49"/>
      <c r="L921" s="49"/>
      <c r="O921" s="49"/>
      <c r="P921" s="49"/>
    </row>
    <row r="922" spans="3:16">
      <c r="C922" s="48"/>
      <c r="D922" s="48"/>
      <c r="E922" s="59"/>
      <c r="K922" s="49"/>
      <c r="L922" s="49"/>
      <c r="O922" s="49"/>
      <c r="P922" s="49"/>
    </row>
    <row r="923" spans="3:16">
      <c r="C923" s="48"/>
      <c r="D923" s="48"/>
      <c r="E923" s="59"/>
      <c r="K923" s="49"/>
      <c r="L923" s="49"/>
      <c r="O923" s="49"/>
      <c r="P923" s="49"/>
    </row>
    <row r="924" spans="3:16">
      <c r="C924" s="48"/>
      <c r="D924" s="48"/>
      <c r="E924" s="59"/>
      <c r="K924" s="49"/>
      <c r="L924" s="49"/>
      <c r="O924" s="49"/>
      <c r="P924" s="49"/>
    </row>
    <row r="925" spans="3:16">
      <c r="C925" s="48"/>
      <c r="D925" s="48"/>
      <c r="E925" s="59"/>
      <c r="K925" s="49"/>
      <c r="L925" s="49"/>
      <c r="O925" s="49"/>
      <c r="P925" s="49"/>
    </row>
    <row r="926" spans="3:16">
      <c r="C926" s="48"/>
      <c r="D926" s="48"/>
      <c r="E926" s="59"/>
      <c r="K926" s="49"/>
      <c r="L926" s="49"/>
      <c r="O926" s="49"/>
      <c r="P926" s="49"/>
    </row>
    <row r="927" spans="3:16">
      <c r="C927" s="48"/>
      <c r="D927" s="48"/>
      <c r="E927" s="59"/>
      <c r="K927" s="49"/>
      <c r="L927" s="49"/>
      <c r="O927" s="49"/>
      <c r="P927" s="49"/>
    </row>
    <row r="928" spans="3:16">
      <c r="C928" s="48"/>
      <c r="D928" s="48"/>
      <c r="E928" s="59"/>
      <c r="K928" s="49"/>
      <c r="L928" s="49"/>
      <c r="O928" s="49"/>
      <c r="P928" s="49"/>
    </row>
    <row r="929" spans="3:16">
      <c r="C929" s="48"/>
      <c r="D929" s="48"/>
      <c r="E929" s="59"/>
      <c r="K929" s="49"/>
      <c r="L929" s="49"/>
      <c r="O929" s="49"/>
      <c r="P929" s="49"/>
    </row>
    <row r="930" spans="3:16">
      <c r="C930" s="48"/>
      <c r="D930" s="48"/>
      <c r="E930" s="59"/>
      <c r="K930" s="49"/>
      <c r="L930" s="49"/>
      <c r="O930" s="49"/>
      <c r="P930" s="49"/>
    </row>
    <row r="931" spans="3:16">
      <c r="C931" s="48"/>
      <c r="D931" s="48"/>
      <c r="E931" s="59"/>
      <c r="K931" s="49"/>
      <c r="L931" s="49"/>
      <c r="O931" s="49"/>
      <c r="P931" s="49"/>
    </row>
    <row r="932" spans="3:16">
      <c r="C932" s="48"/>
      <c r="D932" s="48"/>
      <c r="E932" s="59"/>
      <c r="K932" s="49"/>
      <c r="L932" s="49"/>
      <c r="O932" s="49"/>
      <c r="P932" s="49"/>
    </row>
    <row r="933" spans="3:16">
      <c r="C933" s="48"/>
      <c r="D933" s="48"/>
      <c r="E933" s="59"/>
      <c r="K933" s="49"/>
      <c r="L933" s="49"/>
      <c r="O933" s="49"/>
      <c r="P933" s="49"/>
    </row>
    <row r="934" spans="3:16">
      <c r="C934" s="48"/>
      <c r="D934" s="48"/>
      <c r="E934" s="59"/>
      <c r="K934" s="49"/>
      <c r="L934" s="49"/>
      <c r="O934" s="49"/>
      <c r="P934" s="49"/>
    </row>
    <row r="935" spans="3:16">
      <c r="C935" s="48"/>
      <c r="D935" s="48"/>
      <c r="E935" s="59"/>
      <c r="K935" s="49"/>
      <c r="L935" s="49"/>
      <c r="O935" s="49"/>
      <c r="P935" s="49"/>
    </row>
    <row r="936" spans="3:16">
      <c r="C936" s="48"/>
      <c r="D936" s="48"/>
      <c r="E936" s="59"/>
      <c r="K936" s="49"/>
      <c r="L936" s="49"/>
      <c r="O936" s="49"/>
      <c r="P936" s="49"/>
    </row>
    <row r="937" spans="3:16">
      <c r="C937" s="48"/>
      <c r="D937" s="48"/>
      <c r="E937" s="59"/>
      <c r="K937" s="49"/>
      <c r="L937" s="49"/>
      <c r="O937" s="49"/>
      <c r="P937" s="49"/>
    </row>
    <row r="938" spans="3:16">
      <c r="C938" s="48"/>
      <c r="D938" s="48"/>
      <c r="E938" s="59"/>
      <c r="K938" s="49"/>
      <c r="L938" s="49"/>
      <c r="O938" s="49"/>
      <c r="P938" s="49"/>
    </row>
    <row r="939" spans="3:16">
      <c r="C939" s="48"/>
      <c r="D939" s="48"/>
      <c r="E939" s="59"/>
      <c r="K939" s="49"/>
      <c r="L939" s="49"/>
      <c r="O939" s="49"/>
      <c r="P939" s="49"/>
    </row>
    <row r="940" spans="3:16">
      <c r="C940" s="48"/>
      <c r="D940" s="48"/>
      <c r="E940" s="59"/>
      <c r="K940" s="49"/>
      <c r="L940" s="49"/>
      <c r="O940" s="49"/>
      <c r="P940" s="49"/>
    </row>
    <row r="941" spans="3:16">
      <c r="C941" s="48"/>
      <c r="D941" s="48"/>
      <c r="E941" s="59"/>
      <c r="K941" s="49"/>
      <c r="L941" s="49"/>
      <c r="O941" s="49"/>
      <c r="P941" s="49"/>
    </row>
    <row r="942" spans="3:16">
      <c r="C942" s="48"/>
      <c r="D942" s="48"/>
      <c r="E942" s="59"/>
      <c r="K942" s="49"/>
      <c r="L942" s="49"/>
      <c r="O942" s="49"/>
      <c r="P942" s="49"/>
    </row>
    <row r="943" spans="3:16">
      <c r="C943" s="48"/>
      <c r="D943" s="48"/>
      <c r="E943" s="59"/>
      <c r="K943" s="49"/>
      <c r="L943" s="49"/>
      <c r="O943" s="49"/>
      <c r="P943" s="49"/>
    </row>
    <row r="944" spans="3:16">
      <c r="C944" s="48"/>
      <c r="D944" s="48"/>
      <c r="E944" s="59"/>
      <c r="K944" s="49"/>
      <c r="L944" s="49"/>
      <c r="O944" s="49"/>
      <c r="P944" s="49"/>
    </row>
    <row r="945" spans="3:16">
      <c r="C945" s="48"/>
      <c r="D945" s="48"/>
      <c r="E945" s="59"/>
      <c r="K945" s="49"/>
      <c r="L945" s="49"/>
      <c r="O945" s="49"/>
      <c r="P945" s="49"/>
    </row>
    <row r="946" spans="3:16">
      <c r="C946" s="48"/>
      <c r="D946" s="48"/>
      <c r="E946" s="59"/>
      <c r="K946" s="49"/>
      <c r="L946" s="49"/>
      <c r="O946" s="49"/>
      <c r="P946" s="49"/>
    </row>
    <row r="947" spans="3:16">
      <c r="C947" s="48"/>
      <c r="D947" s="48"/>
      <c r="E947" s="59"/>
      <c r="K947" s="49"/>
      <c r="L947" s="49"/>
      <c r="O947" s="49"/>
      <c r="P947" s="49"/>
    </row>
    <row r="948" spans="3:16">
      <c r="C948" s="48"/>
      <c r="D948" s="48"/>
      <c r="E948" s="59"/>
      <c r="K948" s="49"/>
      <c r="L948" s="49"/>
      <c r="O948" s="49"/>
      <c r="P948" s="49"/>
    </row>
    <row r="949" spans="3:16">
      <c r="C949" s="48"/>
      <c r="D949" s="48"/>
      <c r="E949" s="59"/>
      <c r="K949" s="49"/>
      <c r="L949" s="49"/>
      <c r="O949" s="49"/>
      <c r="P949" s="49"/>
    </row>
    <row r="950" spans="3:16">
      <c r="C950" s="48"/>
      <c r="D950" s="48"/>
      <c r="E950" s="59"/>
      <c r="K950" s="49"/>
      <c r="L950" s="49"/>
      <c r="O950" s="49"/>
      <c r="P950" s="49"/>
    </row>
    <row r="951" spans="3:16">
      <c r="C951" s="48"/>
      <c r="D951" s="48"/>
      <c r="E951" s="59"/>
      <c r="K951" s="49"/>
      <c r="L951" s="49"/>
      <c r="O951" s="49"/>
      <c r="P951" s="49"/>
    </row>
    <row r="952" spans="3:16">
      <c r="C952" s="48"/>
      <c r="D952" s="48"/>
      <c r="E952" s="59"/>
      <c r="K952" s="49"/>
      <c r="L952" s="49"/>
      <c r="O952" s="49"/>
      <c r="P952" s="49"/>
    </row>
    <row r="953" spans="3:16">
      <c r="C953" s="48"/>
      <c r="D953" s="48"/>
      <c r="E953" s="59"/>
      <c r="K953" s="49"/>
      <c r="L953" s="49"/>
      <c r="O953" s="49"/>
      <c r="P953" s="49"/>
    </row>
    <row r="954" spans="3:16">
      <c r="C954" s="48"/>
      <c r="D954" s="48"/>
      <c r="E954" s="59"/>
      <c r="K954" s="49"/>
      <c r="L954" s="49"/>
      <c r="O954" s="49"/>
      <c r="P954" s="49"/>
    </row>
    <row r="955" spans="3:16">
      <c r="C955" s="48"/>
      <c r="D955" s="48"/>
      <c r="E955" s="59"/>
      <c r="K955" s="49"/>
      <c r="L955" s="49"/>
      <c r="O955" s="49"/>
      <c r="P955" s="49"/>
    </row>
    <row r="956" spans="3:16">
      <c r="C956" s="48"/>
      <c r="D956" s="48"/>
      <c r="E956" s="59"/>
      <c r="K956" s="49"/>
      <c r="L956" s="49"/>
      <c r="O956" s="49"/>
      <c r="P956" s="49"/>
    </row>
    <row r="957" spans="3:16">
      <c r="C957" s="48"/>
      <c r="D957" s="48"/>
      <c r="E957" s="59"/>
      <c r="K957" s="49"/>
      <c r="L957" s="49"/>
      <c r="O957" s="49"/>
      <c r="P957" s="49"/>
    </row>
    <row r="958" spans="3:16">
      <c r="C958" s="48"/>
      <c r="D958" s="48"/>
      <c r="E958" s="59"/>
      <c r="K958" s="49"/>
      <c r="L958" s="49"/>
      <c r="O958" s="49"/>
      <c r="P958" s="49"/>
    </row>
    <row r="959" spans="3:16">
      <c r="C959" s="48"/>
      <c r="D959" s="48"/>
      <c r="E959" s="59"/>
      <c r="K959" s="49"/>
      <c r="L959" s="49"/>
      <c r="O959" s="49"/>
      <c r="P959" s="49"/>
    </row>
    <row r="960" spans="3:16">
      <c r="C960" s="48"/>
      <c r="D960" s="48"/>
      <c r="E960" s="59"/>
      <c r="K960" s="49"/>
      <c r="L960" s="49"/>
      <c r="O960" s="49"/>
      <c r="P960" s="49"/>
    </row>
    <row r="961" spans="3:16">
      <c r="C961" s="48"/>
      <c r="D961" s="48"/>
      <c r="E961" s="59"/>
      <c r="K961" s="49"/>
      <c r="L961" s="49"/>
      <c r="O961" s="49"/>
      <c r="P961" s="49"/>
    </row>
    <row r="962" spans="3:16">
      <c r="C962" s="48"/>
      <c r="D962" s="48"/>
      <c r="E962" s="59"/>
      <c r="K962" s="49"/>
      <c r="L962" s="49"/>
      <c r="O962" s="49"/>
      <c r="P962" s="49"/>
    </row>
    <row r="963" spans="3:16">
      <c r="C963" s="48"/>
      <c r="D963" s="48"/>
      <c r="E963" s="59"/>
      <c r="K963" s="49"/>
      <c r="L963" s="49"/>
      <c r="O963" s="49"/>
      <c r="P963" s="49"/>
    </row>
    <row r="964" spans="3:16">
      <c r="C964" s="48"/>
      <c r="D964" s="48"/>
      <c r="E964" s="59"/>
      <c r="K964" s="49"/>
      <c r="L964" s="49"/>
      <c r="O964" s="49"/>
      <c r="P964" s="49"/>
    </row>
    <row r="965" spans="3:16">
      <c r="C965" s="48"/>
      <c r="D965" s="48"/>
      <c r="E965" s="59"/>
      <c r="K965" s="49"/>
      <c r="L965" s="49"/>
      <c r="O965" s="49"/>
      <c r="P965" s="49"/>
    </row>
    <row r="966" spans="3:16">
      <c r="C966" s="48"/>
      <c r="D966" s="48"/>
      <c r="E966" s="59"/>
      <c r="K966" s="49"/>
      <c r="L966" s="49"/>
      <c r="O966" s="49"/>
      <c r="P966" s="49"/>
    </row>
    <row r="967" spans="3:16">
      <c r="C967" s="48"/>
      <c r="D967" s="48"/>
      <c r="E967" s="59"/>
      <c r="K967" s="49"/>
      <c r="L967" s="49"/>
      <c r="O967" s="49"/>
      <c r="P967" s="49"/>
    </row>
    <row r="968" spans="3:16">
      <c r="C968" s="48"/>
      <c r="D968" s="48"/>
      <c r="E968" s="59"/>
      <c r="K968" s="49"/>
      <c r="L968" s="49"/>
      <c r="O968" s="49"/>
      <c r="P968" s="49"/>
    </row>
    <row r="969" spans="3:16">
      <c r="C969" s="48"/>
      <c r="D969" s="48"/>
      <c r="E969" s="59"/>
      <c r="K969" s="49"/>
      <c r="L969" s="49"/>
      <c r="O969" s="49"/>
      <c r="P969" s="49"/>
    </row>
    <row r="970" spans="3:16">
      <c r="C970" s="48"/>
      <c r="D970" s="48"/>
      <c r="E970" s="59"/>
      <c r="K970" s="49"/>
      <c r="L970" s="49"/>
      <c r="O970" s="49"/>
      <c r="P970" s="49"/>
    </row>
    <row r="971" spans="3:16">
      <c r="C971" s="48"/>
      <c r="D971" s="48"/>
      <c r="E971" s="59"/>
      <c r="K971" s="49"/>
      <c r="L971" s="49"/>
      <c r="O971" s="49"/>
      <c r="P971" s="49"/>
    </row>
    <row r="972" spans="3:16">
      <c r="C972" s="48"/>
      <c r="D972" s="48"/>
      <c r="E972" s="59"/>
      <c r="K972" s="49"/>
      <c r="L972" s="49"/>
      <c r="O972" s="49"/>
      <c r="P972" s="49"/>
    </row>
    <row r="973" spans="3:16">
      <c r="C973" s="48"/>
      <c r="D973" s="48"/>
      <c r="E973" s="59"/>
      <c r="K973" s="49"/>
      <c r="L973" s="49"/>
      <c r="O973" s="49"/>
      <c r="P973" s="49"/>
    </row>
    <row r="974" spans="3:16">
      <c r="C974" s="48"/>
      <c r="D974" s="48"/>
      <c r="E974" s="59"/>
      <c r="K974" s="49"/>
      <c r="L974" s="49"/>
      <c r="O974" s="49"/>
      <c r="P974" s="49"/>
    </row>
    <row r="975" spans="3:16">
      <c r="C975" s="48"/>
      <c r="D975" s="48"/>
      <c r="E975" s="59"/>
      <c r="K975" s="49"/>
      <c r="L975" s="49"/>
      <c r="O975" s="49"/>
      <c r="P975" s="49"/>
    </row>
    <row r="976" spans="3:16">
      <c r="C976" s="48"/>
      <c r="D976" s="48"/>
      <c r="E976" s="59"/>
      <c r="K976" s="49"/>
      <c r="L976" s="49"/>
      <c r="O976" s="49"/>
      <c r="P976" s="49"/>
    </row>
    <row r="977" spans="3:16">
      <c r="C977" s="48"/>
      <c r="D977" s="48"/>
      <c r="E977" s="59"/>
      <c r="K977" s="49"/>
      <c r="L977" s="49"/>
      <c r="O977" s="49"/>
      <c r="P977" s="49"/>
    </row>
    <row r="978" spans="3:16">
      <c r="C978" s="48"/>
      <c r="D978" s="48"/>
      <c r="E978" s="59"/>
      <c r="K978" s="49"/>
      <c r="L978" s="49"/>
      <c r="O978" s="49"/>
      <c r="P978" s="49"/>
    </row>
    <row r="979" spans="3:16">
      <c r="C979" s="48"/>
      <c r="D979" s="48"/>
      <c r="E979" s="59"/>
      <c r="K979" s="49"/>
      <c r="L979" s="49"/>
      <c r="O979" s="49"/>
      <c r="P979" s="49"/>
    </row>
    <row r="980" spans="3:16">
      <c r="C980" s="48"/>
      <c r="D980" s="48"/>
      <c r="E980" s="59"/>
      <c r="K980" s="49"/>
      <c r="L980" s="49"/>
      <c r="O980" s="49"/>
      <c r="P980" s="49"/>
    </row>
    <row r="981" spans="3:16">
      <c r="C981" s="48"/>
      <c r="D981" s="48"/>
      <c r="E981" s="59"/>
      <c r="K981" s="49"/>
      <c r="L981" s="49"/>
      <c r="O981" s="49"/>
      <c r="P981" s="49"/>
    </row>
    <row r="982" spans="3:16">
      <c r="C982" s="48"/>
      <c r="D982" s="48"/>
      <c r="E982" s="59"/>
      <c r="K982" s="49"/>
      <c r="L982" s="49"/>
      <c r="O982" s="49"/>
      <c r="P982" s="49"/>
    </row>
    <row r="983" spans="3:16">
      <c r="C983" s="48"/>
      <c r="D983" s="48"/>
      <c r="E983" s="59"/>
      <c r="K983" s="49"/>
      <c r="L983" s="49"/>
      <c r="O983" s="49"/>
      <c r="P983" s="49"/>
    </row>
    <row r="984" spans="3:16">
      <c r="C984" s="48"/>
      <c r="D984" s="48"/>
      <c r="E984" s="59"/>
      <c r="K984" s="49"/>
      <c r="L984" s="49"/>
      <c r="O984" s="49"/>
      <c r="P984" s="49"/>
    </row>
    <row r="985" spans="3:16">
      <c r="C985" s="48"/>
      <c r="D985" s="48"/>
      <c r="E985" s="59"/>
      <c r="K985" s="49"/>
      <c r="L985" s="49"/>
      <c r="O985" s="49"/>
      <c r="P985" s="49"/>
    </row>
    <row r="986" spans="3:16">
      <c r="C986" s="48"/>
      <c r="D986" s="48"/>
      <c r="E986" s="59"/>
      <c r="K986" s="49"/>
      <c r="L986" s="49"/>
      <c r="O986" s="49"/>
      <c r="P986" s="49"/>
    </row>
    <row r="987" spans="3:16">
      <c r="C987" s="48"/>
      <c r="D987" s="48"/>
      <c r="E987" s="59"/>
      <c r="K987" s="49"/>
      <c r="L987" s="49"/>
      <c r="O987" s="49"/>
      <c r="P987" s="49"/>
    </row>
    <row r="988" spans="3:16">
      <c r="C988" s="48"/>
      <c r="D988" s="48"/>
      <c r="E988" s="59"/>
      <c r="K988" s="49"/>
      <c r="L988" s="49"/>
      <c r="O988" s="49"/>
      <c r="P988" s="49"/>
    </row>
    <row r="989" spans="3:16">
      <c r="C989" s="48"/>
      <c r="D989" s="48"/>
      <c r="E989" s="59"/>
      <c r="K989" s="49"/>
      <c r="L989" s="49"/>
      <c r="O989" s="49"/>
      <c r="P989" s="49"/>
    </row>
    <row r="990" spans="3:16">
      <c r="C990" s="48"/>
      <c r="D990" s="48"/>
      <c r="E990" s="59"/>
      <c r="K990" s="49"/>
      <c r="L990" s="49"/>
      <c r="O990" s="49"/>
      <c r="P990" s="49"/>
    </row>
    <row r="991" spans="3:16">
      <c r="C991" s="48"/>
      <c r="D991" s="48"/>
      <c r="E991" s="59"/>
      <c r="K991" s="49"/>
      <c r="L991" s="49"/>
      <c r="O991" s="49"/>
      <c r="P991" s="49"/>
    </row>
    <row r="992" spans="3:16">
      <c r="C992" s="48"/>
      <c r="D992" s="48"/>
      <c r="E992" s="59"/>
      <c r="K992" s="49"/>
      <c r="L992" s="49"/>
      <c r="O992" s="49"/>
      <c r="P992" s="49"/>
    </row>
    <row r="993" spans="3:16">
      <c r="C993" s="48"/>
      <c r="D993" s="48"/>
      <c r="E993" s="59"/>
      <c r="K993" s="49"/>
      <c r="L993" s="49"/>
      <c r="O993" s="49"/>
      <c r="P993" s="49"/>
    </row>
    <row r="994" spans="3:16">
      <c r="C994" s="48"/>
      <c r="D994" s="48"/>
      <c r="E994" s="59"/>
      <c r="K994" s="49"/>
      <c r="L994" s="49"/>
      <c r="O994" s="49"/>
      <c r="P994" s="49"/>
    </row>
    <row r="995" spans="3:16">
      <c r="C995" s="48"/>
      <c r="D995" s="48"/>
      <c r="E995" s="59"/>
      <c r="K995" s="49"/>
      <c r="L995" s="49"/>
      <c r="O995" s="49"/>
      <c r="P995" s="49"/>
    </row>
    <row r="996" spans="3:16">
      <c r="C996" s="48"/>
      <c r="D996" s="48"/>
      <c r="E996" s="59"/>
      <c r="K996" s="49"/>
      <c r="L996" s="49"/>
      <c r="O996" s="49"/>
      <c r="P996" s="49"/>
    </row>
    <row r="997" spans="3:16">
      <c r="C997" s="48"/>
      <c r="D997" s="48"/>
      <c r="E997" s="59"/>
      <c r="K997" s="49"/>
      <c r="L997" s="49"/>
      <c r="O997" s="49"/>
      <c r="P997" s="49"/>
    </row>
    <row r="998" spans="3:16">
      <c r="C998" s="48"/>
      <c r="D998" s="48"/>
      <c r="E998" s="59"/>
      <c r="K998" s="49"/>
      <c r="L998" s="49"/>
      <c r="O998" s="49"/>
      <c r="P998" s="49"/>
    </row>
    <row r="999" spans="3:16">
      <c r="C999" s="48"/>
      <c r="D999" s="48"/>
      <c r="E999" s="59"/>
      <c r="K999" s="49"/>
      <c r="L999" s="49"/>
      <c r="O999" s="49"/>
      <c r="P999" s="49"/>
    </row>
    <row r="1000" spans="3:16">
      <c r="C1000" s="48"/>
      <c r="D1000" s="48"/>
      <c r="E1000" s="59"/>
      <c r="K1000" s="49"/>
      <c r="L1000" s="49"/>
      <c r="O1000" s="49"/>
      <c r="P1000" s="49"/>
    </row>
    <row r="1001" spans="3:16">
      <c r="C1001" s="48"/>
      <c r="D1001" s="48"/>
      <c r="E1001" s="59"/>
      <c r="K1001" s="49"/>
      <c r="L1001" s="49"/>
      <c r="O1001" s="49"/>
      <c r="P1001" s="49"/>
    </row>
    <row r="1002" spans="3:16">
      <c r="C1002" s="48"/>
      <c r="D1002" s="48"/>
      <c r="E1002" s="59"/>
      <c r="K1002" s="49"/>
      <c r="L1002" s="49"/>
      <c r="O1002" s="49"/>
      <c r="P1002" s="49"/>
    </row>
    <row r="1003" spans="3:16">
      <c r="K1003" s="49"/>
      <c r="L1003" s="49"/>
      <c r="O1003" s="49"/>
      <c r="P1003" s="49"/>
    </row>
    <row r="1004" spans="3:16">
      <c r="K1004" s="49"/>
      <c r="L1004" s="49"/>
      <c r="O1004" s="49"/>
      <c r="P1004" s="49"/>
    </row>
  </sheetData>
  <mergeCells count="127">
    <mergeCell ref="AM11:AN11"/>
    <mergeCell ref="AQ11:AR11"/>
    <mergeCell ref="AU11:AV11"/>
    <mergeCell ref="AY11:AZ11"/>
    <mergeCell ref="BC11:BD11"/>
    <mergeCell ref="BC9:BD9"/>
    <mergeCell ref="C11:D11"/>
    <mergeCell ref="G11:H11"/>
    <mergeCell ref="K11:L11"/>
    <mergeCell ref="O11:P11"/>
    <mergeCell ref="S11:T11"/>
    <mergeCell ref="W11:X11"/>
    <mergeCell ref="AA11:AB11"/>
    <mergeCell ref="AE11:AF11"/>
    <mergeCell ref="AI11:AJ11"/>
    <mergeCell ref="AE9:AF9"/>
    <mergeCell ref="AI9:AJ9"/>
    <mergeCell ref="AM9:AN9"/>
    <mergeCell ref="AQ9:AR9"/>
    <mergeCell ref="AU9:AV9"/>
    <mergeCell ref="AY9:AZ9"/>
    <mergeCell ref="C8:D8"/>
    <mergeCell ref="G8:H8"/>
    <mergeCell ref="K8:L8"/>
    <mergeCell ref="O8:P8"/>
    <mergeCell ref="S8:T8"/>
    <mergeCell ref="AU8:AV8"/>
    <mergeCell ref="AY8:AZ8"/>
    <mergeCell ref="BC8:BD8"/>
    <mergeCell ref="C9:D9"/>
    <mergeCell ref="G9:H9"/>
    <mergeCell ref="K9:L9"/>
    <mergeCell ref="O9:P9"/>
    <mergeCell ref="S9:T9"/>
    <mergeCell ref="W9:X9"/>
    <mergeCell ref="AA9:AB9"/>
    <mergeCell ref="W8:X8"/>
    <mergeCell ref="AA8:AB8"/>
    <mergeCell ref="AE8:AF8"/>
    <mergeCell ref="AI8:AJ8"/>
    <mergeCell ref="AM8:AN8"/>
    <mergeCell ref="AQ8:AR8"/>
    <mergeCell ref="BC6:BD6"/>
    <mergeCell ref="AE6:AF6"/>
    <mergeCell ref="AI6:AJ6"/>
    <mergeCell ref="C7:D7"/>
    <mergeCell ref="G7:H7"/>
    <mergeCell ref="K7:L7"/>
    <mergeCell ref="O7:P7"/>
    <mergeCell ref="S7:T7"/>
    <mergeCell ref="W7:X7"/>
    <mergeCell ref="AA7:AB7"/>
    <mergeCell ref="AE7:AF7"/>
    <mergeCell ref="AI7:AJ7"/>
    <mergeCell ref="AM6:AN6"/>
    <mergeCell ref="AQ6:AR6"/>
    <mergeCell ref="AU6:AV6"/>
    <mergeCell ref="AY6:AZ6"/>
    <mergeCell ref="AM7:AN7"/>
    <mergeCell ref="AQ7:AR7"/>
    <mergeCell ref="AU7:AV7"/>
    <mergeCell ref="AY7:AZ7"/>
    <mergeCell ref="BC7:BD7"/>
    <mergeCell ref="C6:D6"/>
    <mergeCell ref="G6:H6"/>
    <mergeCell ref="K6:L6"/>
    <mergeCell ref="O6:P6"/>
    <mergeCell ref="S6:T6"/>
    <mergeCell ref="W6:X6"/>
    <mergeCell ref="AA6:AB6"/>
    <mergeCell ref="W5:X5"/>
    <mergeCell ref="AA5:AB5"/>
    <mergeCell ref="AU4:AV4"/>
    <mergeCell ref="AY4:AZ4"/>
    <mergeCell ref="BC4:BD4"/>
    <mergeCell ref="C3:D3"/>
    <mergeCell ref="G3:H3"/>
    <mergeCell ref="K3:L3"/>
    <mergeCell ref="C5:D5"/>
    <mergeCell ref="G5:H5"/>
    <mergeCell ref="K5:L5"/>
    <mergeCell ref="O5:P5"/>
    <mergeCell ref="S5:T5"/>
    <mergeCell ref="AU5:AV5"/>
    <mergeCell ref="AY5:AZ5"/>
    <mergeCell ref="BC5:BD5"/>
    <mergeCell ref="AE5:AF5"/>
    <mergeCell ref="AI5:AJ5"/>
    <mergeCell ref="AM5:AN5"/>
    <mergeCell ref="AQ5:AR5"/>
    <mergeCell ref="A1:H1"/>
    <mergeCell ref="B2:D2"/>
    <mergeCell ref="F2:H2"/>
    <mergeCell ref="J2:L2"/>
    <mergeCell ref="N2:P2"/>
    <mergeCell ref="R2:T2"/>
    <mergeCell ref="BC3:BD3"/>
    <mergeCell ref="C4:D4"/>
    <mergeCell ref="G4:H4"/>
    <mergeCell ref="K4:L4"/>
    <mergeCell ref="O4:P4"/>
    <mergeCell ref="S4:T4"/>
    <mergeCell ref="W4:X4"/>
    <mergeCell ref="AA4:AB4"/>
    <mergeCell ref="AE4:AF4"/>
    <mergeCell ref="AI4:AJ4"/>
    <mergeCell ref="AE3:AF3"/>
    <mergeCell ref="AI3:AJ3"/>
    <mergeCell ref="AM3:AN3"/>
    <mergeCell ref="AQ3:AR3"/>
    <mergeCell ref="AU3:AV3"/>
    <mergeCell ref="AY3:AZ3"/>
    <mergeCell ref="AM4:AN4"/>
    <mergeCell ref="AQ4:AR4"/>
    <mergeCell ref="AT2:AV2"/>
    <mergeCell ref="AX2:AZ2"/>
    <mergeCell ref="BB2:BD2"/>
    <mergeCell ref="AD2:AF2"/>
    <mergeCell ref="AH2:AJ2"/>
    <mergeCell ref="AL2:AN2"/>
    <mergeCell ref="AP2:AR2"/>
    <mergeCell ref="O3:P3"/>
    <mergeCell ref="S3:T3"/>
    <mergeCell ref="W3:X3"/>
    <mergeCell ref="AA3:AB3"/>
    <mergeCell ref="V2:X2"/>
    <mergeCell ref="Z2:AB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FC77EE1-8813-435B-BB1C-FF897556D7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December</vt:lpstr>
      <vt:lpstr>July</vt:lpstr>
      <vt:lpstr>Calculator</vt:lpstr>
      <vt:lpstr>xlwings.conf</vt:lpstr>
      <vt:lpstr>Lookup</vt:lpstr>
      <vt:lpstr>Metric Coefficients</vt:lpstr>
      <vt:lpstr>(Non)Ideal Flex Load</vt:lpstr>
      <vt:lpstr>LME Demand</vt:lpstr>
      <vt:lpstr>Input Calculations</vt:lpstr>
      <vt:lpstr>Sample Load Data</vt:lpstr>
      <vt:lpstr>CF Data</vt:lpstr>
      <vt:lpstr>FLType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Othman Murad</dc:creator>
  <cp:lastModifiedBy>Othman Murad</cp:lastModifiedBy>
  <dcterms:created xsi:type="dcterms:W3CDTF">2026-08-24T00:42:40Z</dcterms:created>
  <dcterms:modified xsi:type="dcterms:W3CDTF">2026-09-08T00:44:19Z</dcterms:modified>
</cp:coreProperties>
</file>